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plementation Plan" sheetId="1" r:id="rId4"/>
    <sheet state="visible" name="Dependency Tracker" sheetId="2" r:id="rId5"/>
  </sheets>
  <definedNames>
    <definedName name="Holidays">#REF!</definedName>
    <definedName hidden="1" localSheetId="0" name="_xlnm._FilterDatabase">'Implementation Plan'!$A$6:$Y$186</definedName>
    <definedName hidden="1" localSheetId="1" name="_xlnm._FilterDatabase">'Dependency Tracker'!$A$7:$AD$80</definedName>
  </definedNames>
  <calcPr/>
  <extLst>
    <ext uri="GoogleSheetsCustomDataVersion2">
      <go:sheetsCustomData xmlns:go="http://customooxmlschemas.google.com/" r:id="rId6" roundtripDataChecksum="p1cNii1ZnMJTqQICwG81Kqba7hljXOkwDlsu7WLm17I="/>
    </ext>
  </extLst>
</workbook>
</file>

<file path=xl/sharedStrings.xml><?xml version="1.0" encoding="utf-8"?>
<sst xmlns="http://schemas.openxmlformats.org/spreadsheetml/2006/main" count="2566" uniqueCount="1191">
  <si>
    <t>Federal Bank: Bancassurance Platform Implementation Plan</t>
  </si>
  <si>
    <t>Prepared by Zopper for Federal Bank    |   Plan clock starts 10 Oct 2026   |   Scope: Assisted, Mobile Banking, Internet Banking, Group; Life, Health, General; 8 insurers</t>
  </si>
  <si>
    <t xml:space="preserve">Key dates:  Kick-off 12 Oct   |   UAT Release 6 Nov   |   Regulatory readiness 27 Nov   |   UAT sign-off 27 Nov   |   Go-Live 3 Dec   |   </t>
  </si>
  <si>
    <t>Federal Bank: Bank Dependency Tracker</t>
  </si>
  <si>
    <t>8 WEEK COMMITMENT: 10 Oct to 4 Dec</t>
  </si>
  <si>
    <t>As of</t>
  </si>
  <si>
    <t>BUFFER TO 31 Dec</t>
  </si>
  <si>
    <t>W1</t>
  </si>
  <si>
    <t>W2</t>
  </si>
  <si>
    <t>W3</t>
  </si>
  <si>
    <t>W4</t>
  </si>
  <si>
    <t>W5</t>
  </si>
  <si>
    <t>W6</t>
  </si>
  <si>
    <t>W7</t>
  </si>
  <si>
    <t>W8</t>
  </si>
  <si>
    <t>W9</t>
  </si>
  <si>
    <t>W10</t>
  </si>
  <si>
    <t>W11</t>
  </si>
  <si>
    <t>W12</t>
  </si>
  <si>
    <t>#</t>
  </si>
  <si>
    <t>Workstream</t>
  </si>
  <si>
    <t>Activity / Deliverable</t>
  </si>
  <si>
    <t>Scope / Insurer</t>
  </si>
  <si>
    <t>Owner</t>
  </si>
  <si>
    <t>Priority</t>
  </si>
  <si>
    <t>Start</t>
  </si>
  <si>
    <t>End</t>
  </si>
  <si>
    <t>Work days</t>
  </si>
  <si>
    <t>Status</t>
  </si>
  <si>
    <t>Depends on</t>
  </si>
  <si>
    <t>Input needed from</t>
  </si>
  <si>
    <t>Acceptance / Remarks</t>
  </si>
  <si>
    <t>P0</t>
  </si>
  <si>
    <t>KEY MILESTONES (dates follow the linked activity rows below)</t>
  </si>
  <si>
    <t>M1</t>
  </si>
  <si>
    <t>Milestone</t>
  </si>
  <si>
    <t>Plan start, day 1 (Saturday, second Saturday bank holiday; first working day Monday 12 Oct)</t>
  </si>
  <si>
    <t>Zopper</t>
  </si>
  <si>
    <t>◆</t>
  </si>
  <si>
    <t/>
  </si>
  <si>
    <t>Planned</t>
  </si>
  <si>
    <t>Plan clock starts 10 Oct 2026 as agreed.</t>
  </si>
  <si>
    <t>M2</t>
  </si>
  <si>
    <t>Kick-off with Federal Bank</t>
  </si>
  <si>
    <t>Planning risk: Critical = allowance below typical low; At risk = below the midpoint of low and high; Tight = below typical high; OK = covers typical high. Allowance = working days from Raise by to Need by, both included, excluding the holidays. Status colours: green closed, yellow in progress, red blocked.</t>
  </si>
  <si>
    <t>Joint</t>
  </si>
  <si>
    <t>THE DEPENDENCY AND THE PLAN</t>
  </si>
  <si>
    <t>1.2</t>
  </si>
  <si>
    <t>Kick-off.</t>
  </si>
  <si>
    <t>M3</t>
  </si>
  <si>
    <t>Architecture, infra sizing and firewall matrix signed off by Federal Infra and Infosec</t>
  </si>
  <si>
    <t>TYPICAL TIME AND PLANNING RISK</t>
  </si>
  <si>
    <t>2.3</t>
  </si>
  <si>
    <t>M4</t>
  </si>
  <si>
    <t>UAT (non-prod) environment ready on Federal infrastructure</t>
  </si>
  <si>
    <t>Federal Bank</t>
  </si>
  <si>
    <t xml:space="preserve">HOW WE PUSH </t>
  </si>
  <si>
    <t>2.4</t>
  </si>
  <si>
    <t>Zopper-hosted staging covers the gap until this date.</t>
  </si>
  <si>
    <t>M5</t>
  </si>
  <si>
    <t>Integration build complete and internal SIT passed (bank systems and all 8 insurers)</t>
  </si>
  <si>
    <t>LIVE TRACKING</t>
  </si>
  <si>
    <t>3.10</t>
  </si>
  <si>
    <t>M6</t>
  </si>
  <si>
    <t>UAT Release: build released to Federal Bank UAT</t>
  </si>
  <si>
    <t>10.4</t>
  </si>
  <si>
    <t>UAT Release.</t>
  </si>
  <si>
    <t>M7</t>
  </si>
  <si>
    <t>ID</t>
  </si>
  <si>
    <t>TALIC insurer UAT sign-off (fresh integration, runs in parallel from kick-off)</t>
  </si>
  <si>
    <t>Insurer</t>
  </si>
  <si>
    <t>Category</t>
  </si>
  <si>
    <t>Dependency</t>
  </si>
  <si>
    <t>What we need from the Bank</t>
  </si>
  <si>
    <t>Impact if delayed</t>
  </si>
  <si>
    <t>Bank team</t>
  </si>
  <si>
    <t>Zopper owner</t>
  </si>
  <si>
    <t>Plan ref</t>
  </si>
  <si>
    <t>Raise by</t>
  </si>
  <si>
    <t>4.3.4</t>
  </si>
  <si>
    <t>Need by</t>
  </si>
  <si>
    <t>M8</t>
  </si>
  <si>
    <t>Allowance (WD)</t>
  </si>
  <si>
    <t>Regulatory readiness certified: RBI RBC, IRDAI and DPDP controls signed off by Federal Compliance</t>
  </si>
  <si>
    <t>Typical low (WD)</t>
  </si>
  <si>
    <t>Typical high (WD)</t>
  </si>
  <si>
    <t>Planning risk</t>
  </si>
  <si>
    <t>Precedent from other rollouts</t>
  </si>
  <si>
    <t>How we push</t>
  </si>
  <si>
    <t>Escalation path</t>
  </si>
  <si>
    <t>Fallback if blocked</t>
  </si>
  <si>
    <t>7.15</t>
  </si>
  <si>
    <t>Platform ready by end of November, as committed.</t>
  </si>
  <si>
    <t>M9</t>
  </si>
  <si>
    <t>UAT sign-off</t>
  </si>
  <si>
    <t>Raised on</t>
  </si>
  <si>
    <t>Bank SPOC</t>
  </si>
  <si>
    <t>Bank committed date</t>
  </si>
  <si>
    <t>Received on</t>
  </si>
  <si>
    <t>WD open or taken</t>
  </si>
  <si>
    <t>Variance vs typical high (WD)</t>
  </si>
  <si>
    <t>10.9</t>
  </si>
  <si>
    <t>WD left to need by</t>
  </si>
  <si>
    <t>UAT Sign-off.</t>
  </si>
  <si>
    <t>M10</t>
  </si>
  <si>
    <t>RAG</t>
  </si>
  <si>
    <t>Production DC and DR ready for release</t>
  </si>
  <si>
    <t>Escalation due</t>
  </si>
  <si>
    <t>Last follow up</t>
  </si>
  <si>
    <t>Next action and notes</t>
  </si>
  <si>
    <t>GOVERNANCE AND COMMERCIAL</t>
  </si>
  <si>
    <t>2.10</t>
  </si>
  <si>
    <t>M11</t>
  </si>
  <si>
    <t>Go/No-Go decision</t>
  </si>
  <si>
    <t>12.8</t>
  </si>
  <si>
    <t>CAB approval is obtained before this date (row 12.4).</t>
  </si>
  <si>
    <t>M12</t>
  </si>
  <si>
    <t>Go-Live: production for pilot branches, Mobile Banking, Internet Banking, Assisted and Group (Wave 1 products)</t>
  </si>
  <si>
    <t>D01</t>
  </si>
  <si>
    <t>Governance and Commercial</t>
  </si>
  <si>
    <t>12.9</t>
  </si>
  <si>
    <t>Go-Live.</t>
  </si>
  <si>
    <t>Agreement and PO closure</t>
  </si>
  <si>
    <t>M13</t>
  </si>
  <si>
    <t>Wave 1 modules in production mode</t>
  </si>
  <si>
    <t>Signed agreement and purchase order covering scope, commercials and the 10 Oct start</t>
  </si>
  <si>
    <t>Work continues at risk and milestone billing cannot start</t>
  </si>
  <si>
    <t>Retail Bancassurance, Procurement, Legal</t>
  </si>
  <si>
    <t>Project Lead</t>
  </si>
  <si>
    <t>12.10</t>
  </si>
  <si>
    <t>Infra setup to UAT, insurer testing, sign-off and production inside 8 weeks of 10 Oct.</t>
  </si>
  <si>
    <t>M14</t>
  </si>
  <si>
    <t>Full branch rollout complete</t>
  </si>
  <si>
    <t>13.2</t>
  </si>
  <si>
    <t>M15</t>
  </si>
  <si>
    <t>Wave 2 products live, project closure and handover (inside calendar year 2026)</t>
  </si>
  <si>
    <t>13.10</t>
  </si>
  <si>
    <t>P1</t>
  </si>
  <si>
    <t>MOBILISE, GOVERNANCE AND SCOPE BASELINE</t>
  </si>
  <si>
    <t>Send the draft scope of work and milestone schedule on day one, ask the Bank project POC to name the procurement and legal owners, and agree a date for each approval step instead of one date for the whole contract.</t>
  </si>
  <si>
    <t>Bancassurance Projects team, then the Bank project POC, then business head</t>
  </si>
  <si>
    <t>Proceed under a written email mandate for build work already committed and keep production commitments conditional on the PO.</t>
  </si>
  <si>
    <t>Not raised</t>
  </si>
  <si>
    <t>1.1</t>
  </si>
  <si>
    <t>Governance</t>
  </si>
  <si>
    <t>Project start and Zopper team mobilisation (PM, tech lead, integration, QA, DevOps, compliance analyst); SPOCs named on both sides</t>
  </si>
  <si>
    <t>Platform</t>
  </si>
  <si>
    <t>Federal Bank SPOC list: Retail and Bancassurance, IT, Infosec, Compliance, Digital, Finance</t>
  </si>
  <si>
    <t>Plan day 1 is Sat 10 Oct; working days begin Mon 12 Oct.</t>
  </si>
  <si>
    <t>Kick-off meeting: scope, plan, governance, communication matrix, environments and need-by dates</t>
  </si>
  <si>
    <t>All</t>
  </si>
  <si>
    <t>1.3</t>
  </si>
  <si>
    <t>Scope baseline frozen: 13 requirement modules, Life, Health and General, Assisted, Mobile Banking, Internet Banking and Group, product list per insurer as per Product Implementation Plan dated 1 Oct</t>
  </si>
  <si>
    <t>Federal Bank sign-off on baseline</t>
  </si>
  <si>
    <t>Anything beyond baseline goes through change control and moves to Wave 2.</t>
  </si>
  <si>
    <t>1.4</t>
  </si>
  <si>
    <t>Governance cadence: daily stand-up, weekly steering, RAID log, escalation matrix, single plan tracker</t>
  </si>
  <si>
    <t>1.6</t>
  </si>
  <si>
    <t>Integration</t>
  </si>
  <si>
    <t>Access and connectivity request: VPN, UAT credentials, API specs and sandboxes for CBS, AD FS and HRMS, CRM (CX), DMS, SMS and email gateway, communication platform, Bank MIS</t>
  </si>
  <si>
    <t>Federal IT SPOC per system</t>
  </si>
  <si>
    <t>Need-by 16 Oct to hold integration start on 19 Oct.</t>
  </si>
  <si>
    <t>1.7</t>
  </si>
  <si>
    <t>Master data and input checklist issued with need-by dates: org hierarchy, user master and role mapping, SOPs, document templates, targets, legacy data extracts, GL mapping</t>
  </si>
  <si>
    <t>P2</t>
  </si>
  <si>
    <t>INFRASTRUCTURE AND SECURITY (UAT, PRODUCTION DC AND DR)</t>
  </si>
  <si>
    <t>2.1</t>
  </si>
  <si>
    <t>Infrastructure</t>
  </si>
  <si>
    <t>Infra requirement sheet and sizing finalised for UAT, Production DC and Production DR (web, app, database, cache, load balancers; Redhat 9, Oracle 19c)</t>
  </si>
  <si>
    <t>Infra</t>
  </si>
  <si>
    <t>Federal infra standards: OS, database, hardening, backup, monitoring</t>
  </si>
  <si>
    <t>Reference: Production DC and DR deployment architecture already shared.</t>
  </si>
  <si>
    <t>2.2</t>
  </si>
  <si>
    <t>Deployment architecture walk-through with Federal Infra and Infosec; review comments captured and closed</t>
  </si>
  <si>
    <t>Federal Infra and Infosec reviewers</t>
  </si>
  <si>
    <t>Network zoning and firewall rule matrix: DMZ and MZ segments, user to load balancer to web to app to DB, app to bank middleware and API gateway, outbound via bank proxy to 8 insurers, SFTP</t>
  </si>
  <si>
    <t>D02</t>
  </si>
  <si>
    <t>Federal SPOC list and steering members</t>
  </si>
  <si>
    <t>Named SPOCs for Retail and Bancassurance, Core IT, Infra, Network, Infosec, Digital, Compliance, Finance and Operations, plus steering members</t>
  </si>
  <si>
    <t>Every later request sits without an owner and slows down</t>
  </si>
  <si>
    <t>Bancassurance Projects</t>
  </si>
  <si>
    <t>Federal Network and Infosec</t>
  </si>
  <si>
    <t>Sign-off on 21 Oct.</t>
  </si>
  <si>
    <t>1.1, 1.4</t>
  </si>
  <si>
    <t>Federal Bank provisions UAT (non-prod) environment: servers, OS, database, load balancers, storage, DNS and SSL certificates</t>
  </si>
  <si>
    <t>UAT</t>
  </si>
  <si>
    <t>Share a one page SPOC template at kick off and fill the Zopper side live in the meeting; confirm the list in the first stand up.</t>
  </si>
  <si>
    <t>Bank project POC, then business head</t>
  </si>
  <si>
    <t>Federal Infra capacity</t>
  </si>
  <si>
    <t>Route all asks through the Bank project POC until functional SPOCs are named.</t>
  </si>
  <si>
    <t>If late, Zopper-hosted staging (2.7) continues to carry integration and internal testing.</t>
  </si>
  <si>
    <t>2.5</t>
  </si>
  <si>
    <t>Firewall rules and bank proxy whitelisting for UAT: insurer UAT endpoints, bank middleware endpoints, SFTP</t>
  </si>
  <si>
    <t>Insurer UAT endpoint list from Zopper</t>
  </si>
  <si>
    <t>2.6</t>
  </si>
  <si>
    <t>Platform base installation on UAT (React and Nginx web, Django and Docker app, Redis, Oracle schema), configuration baseline and smoke test</t>
  </si>
  <si>
    <t>D03</t>
  </si>
  <si>
    <t>2.7</t>
  </si>
  <si>
    <t>Zopper-hosted staging environment for insurer integration, product configuration and internal SIT; configuration exported to Federal UAT on 2.6</t>
  </si>
  <si>
    <t>Scope baseline sign off</t>
  </si>
  <si>
    <t>Staging</t>
  </si>
  <si>
    <t>Bank sign off on the 13 modules, channels, lines of business and insurer product list in the Product Implementation Plan dated 1 Oct</t>
  </si>
  <si>
    <t>Scope creep and rework, dates reset</t>
  </si>
  <si>
    <t>Retail Bancassurance</t>
  </si>
  <si>
    <t>Product lead</t>
  </si>
  <si>
    <t>Walk the baseline in the kick off and circulate a one page sign off note the same day; anything new goes to the change log with a Wave 2 date.</t>
  </si>
  <si>
    <t>Risk mitigation for infra lead time.</t>
  </si>
  <si>
    <t>2.8</t>
  </si>
  <si>
    <t>Freeze the baseline internally and record every later ask as a Wave 2 request.</t>
  </si>
  <si>
    <t>Federal Bank provisions Production DC (web, app, database, cache, load balancers, network)</t>
  </si>
  <si>
    <t>Prod DC</t>
  </si>
  <si>
    <t>2.9</t>
  </si>
  <si>
    <t>Federal Bank provisions Production DR with database replication from DC</t>
  </si>
  <si>
    <t>Prod DR</t>
  </si>
  <si>
    <t>INFRASTRUCTURE</t>
  </si>
  <si>
    <t>Production base installation on DC and DR, hardening, replication, Redis, backup, logging</t>
  </si>
  <si>
    <t>Prod DC and DR</t>
  </si>
  <si>
    <t>2.8, 2.9</t>
  </si>
  <si>
    <t>Production environment ready.</t>
  </si>
  <si>
    <t>2.11</t>
  </si>
  <si>
    <t>Security</t>
  </si>
  <si>
    <t>D04</t>
  </si>
  <si>
    <t>Monitoring, logging and alerting, SIEM and SOC integration, backup, archival and retention configuration</t>
  </si>
  <si>
    <t>Infra standards and hardening baseline</t>
  </si>
  <si>
    <t>Bank standards for OS, database, hardening, backup, monitoring and patching, including approved Redhat and Oracle versions</t>
  </si>
  <si>
    <t>Platform deployment rework if standards differ from the sizing</t>
  </si>
  <si>
    <t>Infra, Infosec</t>
  </si>
  <si>
    <t>Infra lead</t>
  </si>
  <si>
    <t>Federal SOC integration details</t>
  </si>
  <si>
    <t>2.12</t>
  </si>
  <si>
    <t>Application security: SAST and DAST scans, dependency scan, secure configuration review, Infosec questionnaire responses</t>
  </si>
  <si>
    <t>Federal Infosec questionnaire</t>
  </si>
  <si>
    <t>Reports shared before VAPT begins.</t>
  </si>
  <si>
    <t>2.13</t>
  </si>
  <si>
    <t>VAPT on UAT: web, APIs and mobile web-view</t>
  </si>
  <si>
    <t>2.6, 2.12</t>
  </si>
  <si>
    <t>Federal Infosec or appointed VAPT vendor</t>
  </si>
  <si>
    <t>Send the infra requirement sheet with Zopper's assumed standards filled in and ask the Bank to mark differences only.</t>
  </si>
  <si>
    <t>2.14</t>
  </si>
  <si>
    <t>Infra SPOC, then Infra head, then the Bank project POC, then steering call</t>
  </si>
  <si>
    <t>VAPT remediation, re-test and closure certificate</t>
  </si>
  <si>
    <t>Proceed on the shared architecture assumptions and absorb differences in the UAT build.</t>
  </si>
  <si>
    <t>Closure certificate needed before UAT sign-off.</t>
  </si>
  <si>
    <t>2.15</t>
  </si>
  <si>
    <t>Testing</t>
  </si>
  <si>
    <t>Performance and load test: agreed concurrency for Assisted, Mobile and Internet journeys and EOD batch window</t>
  </si>
  <si>
    <t>2.6, 10.4</t>
  </si>
  <si>
    <t>Federal Bank to confirm expected concurrency</t>
  </si>
  <si>
    <t>2.16</t>
  </si>
  <si>
    <t>DR replication validation (DC to DR) and functional failover test before go-live</t>
  </si>
  <si>
    <t>Full DR drill follows after go-live (13.8); can be advanced if Federal Infosec policy requires.</t>
  </si>
  <si>
    <t>P3</t>
  </si>
  <si>
    <t>BANK SYSTEM INTEGRATIONS</t>
  </si>
  <si>
    <t>3.1</t>
  </si>
  <si>
    <t>Integration design and API contract sign-off: CBS, AD FS and HRMS, CRM (CX), DMS, SMS and email, communication platform, Bank MIS and data warehouse, cKYC and NSDL</t>
  </si>
  <si>
    <t>API specifications and sandbox access</t>
  </si>
  <si>
    <t>Signed API contract sheet.</t>
  </si>
  <si>
    <t>3.2</t>
  </si>
  <si>
    <t>AD FS and HRMS: SSO, 2FA OTP login, SP certification validation, role mapping at login</t>
  </si>
  <si>
    <t>AD FS metadata, HRMS API, test users</t>
  </si>
  <si>
    <t>3.3</t>
  </si>
  <si>
    <t>CBS API: customer prefill (KYC, account status, eligibility, linked accounts)</t>
  </si>
  <si>
    <t>CBS API and test customers</t>
  </si>
  <si>
    <t>3.4</t>
  </si>
  <si>
    <t>cKYC (CERSAI) and NSDL PAN validation; vehicle data via Vahan for motor journeys</t>
  </si>
  <si>
    <t>Federal approvals for cKYC and NSDL access</t>
  </si>
  <si>
    <t>3.5</t>
  </si>
  <si>
    <t>CRM (CX) lead integration: lead initiation with audit trail, Lead ID creation in middleware, lead status sync back to CRM</t>
  </si>
  <si>
    <t>Assisted</t>
  </si>
  <si>
    <t>CRM API and test leads</t>
  </si>
  <si>
    <t>3.6</t>
  </si>
  <si>
    <t>DMS integration: automated document push from middleware at point of creation, search and retrieval, missing document exceptions</t>
  </si>
  <si>
    <t>DMS API and folder taxonomy</t>
  </si>
  <si>
    <t>3.7</t>
  </si>
  <si>
    <t>SMS, email and WhatsApp integration through the bank communication platform; templates and sender IDs</t>
  </si>
  <si>
    <t>Approved templates and sender IDs</t>
  </si>
  <si>
    <t>3.8</t>
  </si>
  <si>
    <t>Bank MIS and data warehouse push and pull APIs; scorecard updation feed</t>
  </si>
  <si>
    <t>D05</t>
  </si>
  <si>
    <t>Deployment architecture review</t>
  </si>
  <si>
    <t>Infra and Infosec review of the Production DC and DR deployment architecture, with comments closed</t>
  </si>
  <si>
    <t>Provisioning and the firewall matrix wait for design approval</t>
  </si>
  <si>
    <t>MIS and DW specification</t>
  </si>
  <si>
    <t>3.9</t>
  </si>
  <si>
    <t>Federal Bank readiness: UAT endpoints, test users and test data exposed for CBS, AD FS, CRM, DMS, SMS, MIS</t>
  </si>
  <si>
    <t>Book the walk through for the second day of the project, send the architecture and the sizing basis two days ahead, capture comments live and close them in writing.</t>
  </si>
  <si>
    <t>Federal IT SPOCs</t>
  </si>
  <si>
    <t>Treat the architecture as approved with comments and update the firewall matrix as comments close.</t>
  </si>
  <si>
    <t>Need-by 30 Oct for integration testing from 2 Nov.</t>
  </si>
  <si>
    <t>Integration testing of all bank system APIs (positive, negative, timeout and retry paths), including SSO from Mobile and Internet Banking</t>
  </si>
  <si>
    <t>3.2 to 3.9</t>
  </si>
  <si>
    <t>Integration build complete.</t>
  </si>
  <si>
    <t>3.11</t>
  </si>
  <si>
    <t>Reverse feed to bank systems: policy issuance, endorsement, cancellation, claim and renewal status to CRM and data warehouse (real time API or batch)</t>
  </si>
  <si>
    <t>Target fields and frequency from Federal</t>
  </si>
  <si>
    <t>D06</t>
  </si>
  <si>
    <t>Volumes and concurrency validation</t>
  </si>
  <si>
    <t>P4</t>
  </si>
  <si>
    <t>INSURER INTEGRATION AND PRODUCT CONFIGURATION (8 INSURERS)</t>
  </si>
  <si>
    <t>Bank validation of branch count, customer base, concurrent users and expected peak logins in the sizing basis</t>
  </si>
  <si>
    <t>Platform performance risk and sizing rework</t>
  </si>
  <si>
    <t>Retail Bancassurance, Digital</t>
  </si>
  <si>
    <t>2.1, 2.15</t>
  </si>
  <si>
    <t>4.1</t>
  </si>
  <si>
    <t>Federal Bank product and rate sign-off: product master, rate charts, group schemes, eligibility and commission grid per insurer</t>
  </si>
  <si>
    <t>All insurers</t>
  </si>
  <si>
    <t>Send the sizing basis with each assumption on its own line and ask for a yes or a corrected number; the note already shows the headroom, so ask only for the numbers that change it.</t>
  </si>
  <si>
    <t>Bancassurance Projects team, then the Bank project POC, then business sponsor</t>
  </si>
  <si>
    <t>Proceed on the design basis with 2x headroom and re test at the performance test.</t>
  </si>
  <si>
    <t>Federal Retail and Bancassurance business</t>
  </si>
  <si>
    <t>Need-by 19 Oct to start configuration on 21 Oct.</t>
  </si>
  <si>
    <t>4.2</t>
  </si>
  <si>
    <t>Insurer onboarding mail and kick-off calls: Federal scope, corporate agent code, UAT credentials, API documents, product specs, insurer SPOCs</t>
  </si>
  <si>
    <t>D07</t>
  </si>
  <si>
    <t>Network zoning and firewall rule matrix</t>
  </si>
  <si>
    <t>Sign off on DMZ and MZ placement and the rule matrix: user to load balancer to web to app to database, app to bank middleware, outbound to insurers through the bank proxy, SFTP</t>
  </si>
  <si>
    <t>Insurer SPOCs</t>
  </si>
  <si>
    <t>No traffic between layers or to insurers, so integration cannot be tested</t>
  </si>
  <si>
    <t>Network, Infosec</t>
  </si>
  <si>
    <t>4.3.1</t>
  </si>
  <si>
    <t>TALIC onboarding inputs: API documents, UAT credentials, product specs and plan variants</t>
  </si>
  <si>
    <t>TALIC (Siddhi portal)</t>
  </si>
  <si>
    <t>Prepare the matrix in the Bank's change request format with source, destination, port and purpose so the Bank only reviews and files it; hold one working session with Network before it is filed.</t>
  </si>
  <si>
    <t>Network SPOC, then Network and Infosec head, then the Bank project POC, then steering call</t>
  </si>
  <si>
    <t>Use the Zopper staging environment for insurer and internal testing until the rules are live.</t>
  </si>
  <si>
    <t>Tata AIA Life</t>
  </si>
  <si>
    <t>Fresh integration starts at kick-off, in parallel with other insurers.</t>
  </si>
  <si>
    <t>4.3.2</t>
  </si>
  <si>
    <t>TALIC API alignment (3 to 4 days) and integration (1 week): quote, proposal, payment, issuance, status</t>
  </si>
  <si>
    <t>4.3.3</t>
  </si>
  <si>
    <t>TALIC reverse feed, documentation push and EOD recon batch enablement</t>
  </si>
  <si>
    <t>D08</t>
  </si>
  <si>
    <t>UAT environment provisioning</t>
  </si>
  <si>
    <t>UAT servers, OS, database, load balancers, storage, DNS and certificates provisioned on Bank infrastructure</t>
  </si>
  <si>
    <t>Platform cannot be deployed on Bank infrastructure for UAT</t>
  </si>
  <si>
    <t>Infra, Data centre</t>
  </si>
  <si>
    <t>2.4, M4</t>
  </si>
  <si>
    <t>Not yet integrated, so enabled fresh.</t>
  </si>
  <si>
    <t>TALIC insurer UAT and sign-off (2 to 2.5 weeks)</t>
  </si>
  <si>
    <t>Raise the server request on day one with the sizing sheet attached, ask for the Bank's build calendar and a committed date within two working days, and review progress in the daily stand up until the servers are handed over.</t>
  </si>
  <si>
    <t>Zopper hosted staging carries integration and internal testing; UAT release moves to Bank UAT as soon as servers arrive.</t>
  </si>
  <si>
    <t>Tata AIA Life UAT access</t>
  </si>
  <si>
    <t>Runs on Zopper staging until UAT Release (6 Nov), then on Federal UAT.</t>
  </si>
  <si>
    <t>4.4.1</t>
  </si>
  <si>
    <t>STAR onboarding inputs and product master: UAT access, group schemes</t>
  </si>
  <si>
    <t>STAR (Atom Pro)</t>
  </si>
  <si>
    <t>Star Health</t>
  </si>
  <si>
    <t>Live integration; configuration and UAT only.</t>
  </si>
  <si>
    <t>4.4.2</t>
  </si>
  <si>
    <t>STAR product configuration (few hours) and enablement of reverse feed, documentation push and EOD recon batch for Federal Bank</t>
  </si>
  <si>
    <t>Federal Bank sign-off</t>
  </si>
  <si>
    <t>4.4.3</t>
  </si>
  <si>
    <t>STAR insurer UAT and sign-off (5 to 6 days)</t>
  </si>
  <si>
    <t>D09</t>
  </si>
  <si>
    <t>Star Health UAT access</t>
  </si>
  <si>
    <t>4.5.1</t>
  </si>
  <si>
    <t>Pre production environment decision</t>
  </si>
  <si>
    <t>Confirm whether the Bank mandates a pre production tier before production; the plan has UAT and Production only</t>
  </si>
  <si>
    <t>Chola onboarding inputs and product list confirmation</t>
  </si>
  <si>
    <t>An extra environment and about two weeks if mandated</t>
  </si>
  <si>
    <t>Chola (V4)</t>
  </si>
  <si>
    <t>Infra, Change management</t>
  </si>
  <si>
    <t>Chola MS; Federal Bank to confirm product list by 23 Oct</t>
  </si>
  <si>
    <t>Ask the question in the kick off and record the answer; if a tier is needed, request it in the same infra ticket as UAT.</t>
  </si>
  <si>
    <t>Product list to be confirmed by Federal Bank. Live integration; configuration and UAT only.</t>
  </si>
  <si>
    <t>4.5.2</t>
  </si>
  <si>
    <t>Use UAT as pre production with a frozen build and a sign off gate.</t>
  </si>
  <si>
    <t>Chola product configuration (few hours) and enablement of reverse feed, documentation push and EOD recon batch</t>
  </si>
  <si>
    <t>4.1, 4.5.1</t>
  </si>
  <si>
    <t>4.5.3</t>
  </si>
  <si>
    <t>Chola insurer UAT and sign-off (5 to 6 days)</t>
  </si>
  <si>
    <t>D10</t>
  </si>
  <si>
    <t>SSL certificates and DNS</t>
  </si>
  <si>
    <t>Chola MS UAT access</t>
  </si>
  <si>
    <t>Domain names, certificates and DNS entries for UAT and Production</t>
  </si>
  <si>
    <t>Access fails or shows security warnings, which blocks browser and app testing</t>
  </si>
  <si>
    <t>4.6.1</t>
  </si>
  <si>
    <t>Infra, Network</t>
  </si>
  <si>
    <t>BALIC onboarding inputs and product master: UAT access, group schemes</t>
  </si>
  <si>
    <t>2.4, 2.8</t>
  </si>
  <si>
    <t>BALIC (Digi Banca)</t>
  </si>
  <si>
    <t>Domain users could not reach the platform from bank networks at one bank until the bank infra team investigated.</t>
  </si>
  <si>
    <t>Send host names and certificate signing requests with the server request so DNS and certificates run alongside provisioning; test access from a branch network on the day servers are handed over.</t>
  </si>
  <si>
    <t>Use temporary host names on Zopper staging for early user walk throughs.</t>
  </si>
  <si>
    <t>Bajaj Life</t>
  </si>
  <si>
    <t>Live Digi Banca integration; most products need configuration only, the rest need API alignment and integration.</t>
  </si>
  <si>
    <t>4.6.2</t>
  </si>
  <si>
    <t>BALIC product configuration, API alignment and integration where needed, enablement of reverse feed, documentation push and EOD recon batch</t>
  </si>
  <si>
    <t>4.6.3</t>
  </si>
  <si>
    <t>BALIC insurer UAT and sign-off (1 to 1.5 weeks)</t>
  </si>
  <si>
    <t>D11</t>
  </si>
  <si>
    <t>Firewall ports and proxy whitelisting, UAT</t>
  </si>
  <si>
    <t>UAT firewall rules and bank proxy whitelisting for insurer UAT endpoints, bank middleware and SFTP</t>
  </si>
  <si>
    <t>Insurer and payment calls fail, so integration testing cannot start</t>
  </si>
  <si>
    <t>Bajaj Life UAT access</t>
  </si>
  <si>
    <t>4.7.1</t>
  </si>
  <si>
    <t>TAGIC onboarding inputs and product master: UAT access, group schemes, make-model-variant mapping</t>
  </si>
  <si>
    <t>TAGIC (IPDS V2)</t>
  </si>
  <si>
    <t>Incomplete whitelisting broke SMS and document retrieval at another bank; UAT whitelisting was completed first and production followed later.</t>
  </si>
  <si>
    <t>File every UAT rule in one batch with the insurer endpoint list, ask for a test call on each rule the day it opens, and keep a rule by rule status list in the stand up.</t>
  </si>
  <si>
    <t>Test insurer APIs from Zopper staging, which already has insurer access, and replay on Bank UAT once rules open.</t>
  </si>
  <si>
    <t>Tata AIG</t>
  </si>
  <si>
    <t>Live IPDS V2 integration; products flagged post go-live move to Wave 2.</t>
  </si>
  <si>
    <t>4.7.2</t>
  </si>
  <si>
    <t>TAGIC product configuration, API alignment and integration for Wave 1 products, enablement of reverse feed, documentation push and EOD recon batch</t>
  </si>
  <si>
    <t>4.7.3</t>
  </si>
  <si>
    <t>TAGIC insurer UAT and sign-off (1 to 1.5 weeks)</t>
  </si>
  <si>
    <t>D12</t>
  </si>
  <si>
    <t>Production DC provisioning</t>
  </si>
  <si>
    <t>Production DC web, app, database, cache and load balancer servers with network</t>
  </si>
  <si>
    <t>Release cannot be deployed on 30 Nov and the go live date moves</t>
  </si>
  <si>
    <t>2.8, M10</t>
  </si>
  <si>
    <t>Tata AIG UAT access</t>
  </si>
  <si>
    <t>4.8.1</t>
  </si>
  <si>
    <t>Raise the production request with the UAT request so the Bank can queue both; agree a hand over date for each server group and review it weekly at the steering call.</t>
  </si>
  <si>
    <t>Hold the go live date and start with a smaller production footprint if the Bank agrees; scale up later.</t>
  </si>
  <si>
    <t>BAGIC onboarding inputs and product master: UAT access, group schemes, make-model-variant mapping</t>
  </si>
  <si>
    <t>BAGIC (Maximus)</t>
  </si>
  <si>
    <t>Bajaj Allianz General</t>
  </si>
  <si>
    <t>D13</t>
  </si>
  <si>
    <t>Live Maximus integration; group runs on the same API. Products flagged post go-live move to Wave 2.</t>
  </si>
  <si>
    <t>4.8.2</t>
  </si>
  <si>
    <t>Production DR provisioning and replication</t>
  </si>
  <si>
    <t>Production DR servers and database replication from DC</t>
  </si>
  <si>
    <t>BAGIC product configuration, API alignment and integration for Wave 1 products, enablement of reverse feed, documentation push and EOD recon batch</t>
  </si>
  <si>
    <t>No DR at go live</t>
  </si>
  <si>
    <t>Infra, Data centre, DBA</t>
  </si>
  <si>
    <t>2.9, 2.16</t>
  </si>
  <si>
    <t>At one bank the DC migration completed on 26 Jul and the DR drill followed on 22 Aug, about four weeks later.</t>
  </si>
  <si>
    <t>Order DR with DC and ask the DBA team for the replication method and window in week 2, because replication needs the DC database first.</t>
  </si>
  <si>
    <t>4.8.3</t>
  </si>
  <si>
    <t>BAGIC insurer UAT and sign-off (1 to 1.5 weeks)</t>
  </si>
  <si>
    <t>Go live on DC with DR replication validated within a week of go live, if Bank policy allows.</t>
  </si>
  <si>
    <t>Bajaj Allianz UAT access</t>
  </si>
  <si>
    <t>4.9.1</t>
  </si>
  <si>
    <t>NIVA onboarding inputs and product master: UAT access, Federal specific group plan specs and rate charts</t>
  </si>
  <si>
    <t>NIVA (Insta Insure)</t>
  </si>
  <si>
    <t>Niva Bupa</t>
  </si>
  <si>
    <t>Live Insta Insure integration; Federal specific group plan variants are configured with their parent plan.</t>
  </si>
  <si>
    <t>4.9.2</t>
  </si>
  <si>
    <t>NIVA product configuration, API alignment and integration, enablement of reverse feed, documentation push and EOD recon batch</t>
  </si>
  <si>
    <t>D14</t>
  </si>
  <si>
    <t>Firewall ports and proxy whitelisting, Production</t>
  </si>
  <si>
    <t>Production firewall rules and proxy whitelisting for insurers, bank systems and SFTP</t>
  </si>
  <si>
    <t>Production calls fail on go live day</t>
  </si>
  <si>
    <t>Network, Infosec, Change management</t>
  </si>
  <si>
    <t>12.1</t>
  </si>
  <si>
    <t>Federal Bank sign-off; Niva Bupa group specs</t>
  </si>
  <si>
    <t>4.9.3</t>
  </si>
  <si>
    <t>NIVA insurer UAT and sign-off (1 to 1.5 weeks)</t>
  </si>
  <si>
    <t>File the production rules in one batch straight after UAT rules close, using the same matrix, and request change board slots early because rule changes usually need change approval.</t>
  </si>
  <si>
    <t>No workaround for production, so protect this date and escalate at the first slip.</t>
  </si>
  <si>
    <t>Niva Bupa UAT access</t>
  </si>
  <si>
    <t>4.10.1</t>
  </si>
  <si>
    <t>AFLIC onboarding inputs and product master: UAT access, product specs</t>
  </si>
  <si>
    <t>AFLIC (ACE)</t>
  </si>
  <si>
    <t>D15</t>
  </si>
  <si>
    <t>Monitoring, SIEM and SOC integration details</t>
  </si>
  <si>
    <t>Ageas Federal Life</t>
  </si>
  <si>
    <t>SOC and SIEM log format, collector details, alerting contacts, backup and retention policy</t>
  </si>
  <si>
    <t>Production readiness gap raised by Infosec</t>
  </si>
  <si>
    <t>Live ACE integration; retail products onboard through API alignment and integration.</t>
  </si>
  <si>
    <t>SOC, Infosec</t>
  </si>
  <si>
    <t>4.10.2</t>
  </si>
  <si>
    <t>AFLIC product configuration, API alignment and integration, enablement of reverse feed, documentation push and EOD recon batch</t>
  </si>
  <si>
    <t>Offer a ready log format and ask the SOC for its collector and onboarding checklist; hold one 30 minute session to agree fields.</t>
  </si>
  <si>
    <t>Infosec SPOC, then CISO office, then the Bank project POC, then steering call</t>
  </si>
  <si>
    <t>Ship logs to a Zopper managed store and switch to the Bank SIEM when ready.</t>
  </si>
  <si>
    <t>4.10.3</t>
  </si>
  <si>
    <t>AFLIC insurer UAT and sign-off (1 to 1.5 weeks)</t>
  </si>
  <si>
    <t>Ageas Federal Life UAT access</t>
  </si>
  <si>
    <t>P5</t>
  </si>
  <si>
    <t>JOURNEY CONFIGURATION: ASSISTED, MOBILE BANKING, INTERNET BANKING, GROUP</t>
  </si>
  <si>
    <t>D16</t>
  </si>
  <si>
    <t>Patch management and backup policy</t>
  </si>
  <si>
    <t>Patch cycle, backup and retention rules the Bank expects on the platform servers</t>
  </si>
  <si>
    <t>Platform performance and compliance gaps</t>
  </si>
  <si>
    <t>5.1</t>
  </si>
  <si>
    <t>Journey: Assisted</t>
  </si>
  <si>
    <t>Assisted Life journey (Term, Savings and Investment): SP-certified login, CBS prefill, product selection, suitability matrix, multi-insurer recommendation, BI authorisation, consent, issuance</t>
  </si>
  <si>
    <t>Assisted (RM)</t>
  </si>
  <si>
    <t>Ask for the policy document only and map each rule to a runbook step ourselves.</t>
  </si>
  <si>
    <t>Apply the Bank hardening baseline and confirm against the policy later.</t>
  </si>
  <si>
    <t>3.2, 3.3</t>
  </si>
  <si>
    <t>5.2</t>
  </si>
  <si>
    <t>Assisted Health and General journeys (Health, Motor 2W and 4W, Home and fire, Travel, Personal accident): quote, proposal, payment, issuance</t>
  </si>
  <si>
    <t>D17</t>
  </si>
  <si>
    <t>DR drill window</t>
  </si>
  <si>
    <t>Slot and participants for the full DR drill after go live</t>
  </si>
  <si>
    <t>DR confidence and a possible audit finding</t>
  </si>
  <si>
    <t>Infra, DBA, Business continuity</t>
  </si>
  <si>
    <t>13.8</t>
  </si>
  <si>
    <t>5.3</t>
  </si>
  <si>
    <t>Lead management: CRM (CX) initiation, Lead ID, KYC and eligibility validation, bulk lead upload with Maker-Checker, lead lifecycle dashboard</t>
  </si>
  <si>
    <t>Put the drill plan and window in the go live runbook and ask the Bank to block the slot before go live.</t>
  </si>
  <si>
    <t>Run a functional failover test before go live and the full drill in January.</t>
  </si>
  <si>
    <t>5.4</t>
  </si>
  <si>
    <t>Multi-policy check and Regional Head approval workflow for customers holding 4 or more life policies</t>
  </si>
  <si>
    <t>SECURITY AND INFOSEC</t>
  </si>
  <si>
    <t>5.5</t>
  </si>
  <si>
    <t>Policy issuance and status tracking: STP instant issuance, non-STP status polling, audit trail per status change, policy PDF storage</t>
  </si>
  <si>
    <t>D18</t>
  </si>
  <si>
    <t>Security and Infosec</t>
  </si>
  <si>
    <t>5.6</t>
  </si>
  <si>
    <t>Infosec policies and questionnaire</t>
  </si>
  <si>
    <t>Journey: Group</t>
  </si>
  <si>
    <t>Infosec policies, secure coding and application security requirements, and the Bank questionnaire</t>
  </si>
  <si>
    <t>Group enrollment: CBS prefill of members, RM review, Maker-Checker authorisation, group schemes (credit life, group health, group personal accident)</t>
  </si>
  <si>
    <t>Late findings near go live</t>
  </si>
  <si>
    <t>Group</t>
  </si>
  <si>
    <t>Infosec</t>
  </si>
  <si>
    <t>Compliance analyst</t>
  </si>
  <si>
    <t>Federal group schemes and member data format</t>
  </si>
  <si>
    <t>5.7</t>
  </si>
  <si>
    <t>Journey: Mobile</t>
  </si>
  <si>
    <t>Digital integration design with Federal Digital team: SSO or token handoff from mobile app, web-view or SDK, session, theme, deep links</t>
  </si>
  <si>
    <t>Mobile Banking</t>
  </si>
  <si>
    <t>Federal Digital team</t>
  </si>
  <si>
    <t>5.8</t>
  </si>
  <si>
    <t>Mobile Banking DIY journeys: Life, Health, Motor and other General products; quote, proposal, KYC, payment, issuance, policy copy</t>
  </si>
  <si>
    <t>Ask for the questionnaire and policies on day one and send completed answers within three days; share SAST and DAST reports as they finish so Infosec reviews continuously, not at the end.</t>
  </si>
  <si>
    <t>5.9</t>
  </si>
  <si>
    <t>Federal Digital team enables insurance entry point and SSO in the Mobile Banking app; app build and release train slot</t>
  </si>
  <si>
    <t>Self assess against common standards and update when the Bank policies arrive.</t>
  </si>
  <si>
    <t>Release train slot confirmed by 23 Oct</t>
  </si>
  <si>
    <t>If the slot is missed, Mobile Banking follows on the next release; other channels go live on 3 Dec.</t>
  </si>
  <si>
    <t>5.10</t>
  </si>
  <si>
    <t>Mobile Banking end to end testing on bank UAT app build (Android and iOS)</t>
  </si>
  <si>
    <t>5.8, 5.9</t>
  </si>
  <si>
    <t>5.11</t>
  </si>
  <si>
    <t>Journey: Internet</t>
  </si>
  <si>
    <t>Internet Banking integration design: SSO, redirect or frame, session, theme</t>
  </si>
  <si>
    <t>Internet Banking</t>
  </si>
  <si>
    <t>5.12</t>
  </si>
  <si>
    <t>Internet Banking DIY journeys: Life, Health and General</t>
  </si>
  <si>
    <t>5.13</t>
  </si>
  <si>
    <t>Federal Digital team enables Internet Banking entry point and SSO</t>
  </si>
  <si>
    <t>5.14</t>
  </si>
  <si>
    <t>Internet Banking end to end testing across supported browsers</t>
  </si>
  <si>
    <t>5.12, 5.13</t>
  </si>
  <si>
    <t>5.15</t>
  </si>
  <si>
    <t>Journey</t>
  </si>
  <si>
    <t>Multi-language content and regional language proposal forms; UI theming per Federal guidelines (bank brand kept off insurer product documents)</t>
  </si>
  <si>
    <t>All journeys</t>
  </si>
  <si>
    <t>Language list and brand guidelines</t>
  </si>
  <si>
    <t>5.16</t>
  </si>
  <si>
    <t>Servicing</t>
  </si>
  <si>
    <t>Customer 360 and policy servicing: portfolio across insurers, servicing actions through insurer APIs, request tracking, policy document access</t>
  </si>
  <si>
    <t>4.4.2 to 4.10.2</t>
  </si>
  <si>
    <t>Core servicing live on 3 Dec; actions dependent on insurer APIs follow in Wave 2 (13.7).</t>
  </si>
  <si>
    <t>P6</t>
  </si>
  <si>
    <t>PAYMENTS, RECONCILIATION AND COMMISSION</t>
  </si>
  <si>
    <t>6.1</t>
  </si>
  <si>
    <t>Payments</t>
  </si>
  <si>
    <t>Payment rails: insurer payment gateway (UPI, netbanking, cards, wallets), real-time status push to insurer, automated receipts by SMS and email</t>
  </si>
  <si>
    <t>D19</t>
  </si>
  <si>
    <t>Digital payment security control approval</t>
  </si>
  <si>
    <t>Infosec approval of the payment flows: insurer gateway redirect, Direct Debit with OTP, and the controls the Bank requires</t>
  </si>
  <si>
    <t>Payment integration blocked, so policy issuance stops</t>
  </si>
  <si>
    <t>Infosec, CISO office, Payments</t>
  </si>
  <si>
    <t>Integration lead</t>
  </si>
  <si>
    <t>6.1, 6.2</t>
  </si>
  <si>
    <t>Insurer PG test credentials</t>
  </si>
  <si>
    <t>Submit the payment flow diagrams and control checklist in week 1 and request a CISO office review slot; keep the approval on the steering agenda from week 2.</t>
  </si>
  <si>
    <t>Go live with insurer gateway redirect only and add Direct Debit in Wave 2.</t>
  </si>
  <si>
    <t>6.2</t>
  </si>
  <si>
    <t>Bank Direct Debit through CBS with customer OTP consent and Maker-Checker; real-time status push; reversal and refund handling</t>
  </si>
  <si>
    <t>Assisted and Group</t>
  </si>
  <si>
    <t>CBS debit API, OTP service, limits</t>
  </si>
  <si>
    <t>6.3</t>
  </si>
  <si>
    <t>Payment timing and consent validation for life journeys against IRDAI policyholder protection requirements (premium collection sequence relative to underwriting finalisation); confirm journey variant</t>
  </si>
  <si>
    <t>Life journeys</t>
  </si>
  <si>
    <t>D20</t>
  </si>
  <si>
    <t>VAPT on UAT</t>
  </si>
  <si>
    <t>Bank Infosec or an appointed vendor runs VAPT on web, APIs and the mobile web view</t>
  </si>
  <si>
    <t>Security clearance missing at UAT sign off</t>
  </si>
  <si>
    <t>Infosec, VAPT vendor</t>
  </si>
  <si>
    <t>Federal Compliance and insurer opinions</t>
  </si>
  <si>
    <t>6.4</t>
  </si>
  <si>
    <t>Refund processing, failed payment handling and settlement reconciliation (insurer PG and bank debit)</t>
  </si>
  <si>
    <t>At one bank, high and critical vulnerabilities and pending whitelisting for VA points kept closure running for a long period.</t>
  </si>
  <si>
    <t>Book the vendor slot as soon as the UAT date is fixed, share SAST and DAST reports beforehand and agree scope and test accounts in writing.</t>
  </si>
  <si>
    <t>Commission a Zopper side VAPT in parallel and share its report to close findings early.</t>
  </si>
  <si>
    <t>6.5</t>
  </si>
  <si>
    <t>Reconciliation</t>
  </si>
  <si>
    <t>EOD reconciliation engine: scheduler based batch API per insurer across Assisted, Mobile, Internet and Telesales; 40+ data fields; exception and mismatch flags</t>
  </si>
  <si>
    <t>Insurer EOD API formats</t>
  </si>
  <si>
    <t>6.6</t>
  </si>
  <si>
    <t>Commission reconciliation: ingest insurer commission grids and commission MIS formats, policy level expected versus actual, variance dashboards</t>
  </si>
  <si>
    <t>D21</t>
  </si>
  <si>
    <t>VAPT remediation closure and certificate</t>
  </si>
  <si>
    <t>Re test of fixes and a closure certificate from the Bank</t>
  </si>
  <si>
    <t>UAT sign off cannot be given without closure</t>
  </si>
  <si>
    <t>6.8</t>
  </si>
  <si>
    <t>Sample commission MIS from each insurer</t>
  </si>
  <si>
    <t>6.7</t>
  </si>
  <si>
    <t>Fix critical and high findings within two days, send a closure note per finding and agree a re test slot when the findings land.</t>
  </si>
  <si>
    <t>Income reconciliation and register management: commission statements (Schedule VI A and VI B, SP Statement, AV Statement), GL and income recognition mapping</t>
  </si>
  <si>
    <t>Seek conditional sign off with medium and low findings tracked after go live.</t>
  </si>
  <si>
    <t>Federal Finance inputs: GL mapping, income recognition rules, commission grid per insurer, sample insurer commission MIS</t>
  </si>
  <si>
    <t>Federal Finance and Operations</t>
  </si>
  <si>
    <t>Need-by 23 Oct.</t>
  </si>
  <si>
    <t>6.9</t>
  </si>
  <si>
    <t>Reconciliation UAT on sample and historical data, parallel run, variance review with Federal Finance</t>
  </si>
  <si>
    <t>6.5 to 6.7</t>
  </si>
  <si>
    <t>6.10</t>
  </si>
  <si>
    <t>Reconciliation sign-off by Federal Finance and Operations</t>
  </si>
  <si>
    <t>D22</t>
  </si>
  <si>
    <t>Bank System Integrations</t>
  </si>
  <si>
    <t>API specifications for all bank systems</t>
  </si>
  <si>
    <t>API specs for CBS, AD FS and HRMS, CRM, DMS, SMS, email, WhatsApp, MIS and data warehouse, cKYC, NSDL and Vahan</t>
  </si>
  <si>
    <t>Integration build cannot start on 22 Oct</t>
  </si>
  <si>
    <t>Core IT, API gateway team</t>
  </si>
  <si>
    <t>1.6, 3.1</t>
  </si>
  <si>
    <t>P7</t>
  </si>
  <si>
    <t>COMPLIANCE: RBI RBC, IRDAI AND DPDP (READY BY END OF NOVEMBER)</t>
  </si>
  <si>
    <t>7.1</t>
  </si>
  <si>
    <t>Compliance</t>
  </si>
  <si>
    <t>Regulatory requirements workshop with Federal Compliance: RBI Responsible Business Conduct Second Amendment Directions 2026 (RBI/2026-27/115, effective 1 Jan 2027), IRDAI requirements for corporate agents, DPDP</t>
  </si>
  <si>
    <t>Federal Compliance</t>
  </si>
  <si>
    <t>Regulatory references confirmed by Federal Compliance in this workshop.</t>
  </si>
  <si>
    <t>7.2</t>
  </si>
  <si>
    <t>Send one request listing every system, the exact artefact needed and the date, and ask each system owner for the spec in one working session in week 1.</t>
  </si>
  <si>
    <t>Regulatory traceability matrix: each requirement mapped to a platform control, screen or report and a test case; signed by Federal Compliance</t>
  </si>
  <si>
    <t>Core banking SPOC, then head of banking applications, then the Bank project POC, then steering call</t>
  </si>
  <si>
    <t>Build against sample specs with mock services and reconcile when the Bank specs arrive.</t>
  </si>
  <si>
    <t>7.3</t>
  </si>
  <si>
    <t>Unbundled and explicit consent: separate consent per product, no tie to loan or account services, consent artefacts with timestamp, device and IP</t>
  </si>
  <si>
    <t>RBC.</t>
  </si>
  <si>
    <t>7.4</t>
  </si>
  <si>
    <t>Suitability and appropriateness evidence: three step suitability matrix, non-editable audit records, recommendation log</t>
  </si>
  <si>
    <t>7.5</t>
  </si>
  <si>
    <t>Post sale confirmation and customer feedback within 30 days of sale (SMS, email, WhatsApp) with tracking and escalation</t>
  </si>
  <si>
    <t>Federal feedback script</t>
  </si>
  <si>
    <t>7.6</t>
  </si>
  <si>
    <t>Mis-selling complaint route: capture, SLA, refund workflow, grievance tracker, escalation to Federal grievance team</t>
  </si>
  <si>
    <t>Federal grievance process</t>
  </si>
  <si>
    <t>7.7</t>
  </si>
  <si>
    <t>Document and branding controls: insurer product and service documents free of bank brand; template review with Federal Compliance</t>
  </si>
  <si>
    <t>Document templates</t>
  </si>
  <si>
    <t>7.8</t>
  </si>
  <si>
    <t>Incentive and campaign controls: review campaign, reward and incentive configuration against RBC limits on third party incentives to bank employees; approval flow</t>
  </si>
  <si>
    <t>Campaign</t>
  </si>
  <si>
    <t>7.2, 8.5</t>
  </si>
  <si>
    <t>Federal HR and Compliance</t>
  </si>
  <si>
    <t>7.9</t>
  </si>
  <si>
    <t>Soliciting person linkage: SP ID captured on every policy and pushed to insurer and reports; SP certification expiry enforcement</t>
  </si>
  <si>
    <t>D23</t>
  </si>
  <si>
    <t>VPN and sandbox access</t>
  </si>
  <si>
    <t>VPN or approved connectivity from Zopper to the Bank sandboxes and UAT endpoints, with credentials</t>
  </si>
  <si>
    <t>Integration cannot be developed against Bank test systems</t>
  </si>
  <si>
    <t>Network, Core IT</t>
  </si>
  <si>
    <t>IRDAI Intermediaries (Amendment) Regulations 2026, applicable from 1 Jan 2027 as reported; confirm with Federal Compliance.</t>
  </si>
  <si>
    <t>7.10</t>
  </si>
  <si>
    <t>IRDAI reporting suite configured and validated with Federal data: Schedule VI A and VI B, Premium Register, Commission, SP and AV Statements, New Business (Life, Health, General), Claims, Complaints, Persistency, Grievance, Disclosures, AML</t>
  </si>
  <si>
    <t>Send IP ranges and the access form on day one and test the tunnel with the Bank engineer on the day it opens.</t>
  </si>
  <si>
    <t>Develop against mocks and move to the Bank sandbox as soon as the tunnel is up.</t>
  </si>
  <si>
    <t>Report formats confirmed by Federal Compliance</t>
  </si>
  <si>
    <t>7.11</t>
  </si>
  <si>
    <t>Commission and reward rule engine kept configurable for IRDAI distribution reforms (consultation paper of 23 Sep 2026, comments close 25 Oct 2026, not final)</t>
  </si>
  <si>
    <t>Changes after final notification follow change control.</t>
  </si>
  <si>
    <t>7.12</t>
  </si>
  <si>
    <t>DPDP controls: consent management, retention and purge rules, data residency inside Federal DC, access logs</t>
  </si>
  <si>
    <t>D24</t>
  </si>
  <si>
    <t>CBS APIs: account and customer details</t>
  </si>
  <si>
    <t>CBS UAT endpoints, test customers and data for prefill: KYC, account status, eligibility, linked accounts</t>
  </si>
  <si>
    <t>No auto population of customer details, so turnaround increases</t>
  </si>
  <si>
    <t>Core banking, API gateway</t>
  </si>
  <si>
    <t>3.3, 3.9</t>
  </si>
  <si>
    <t>CBS data arrived with masked middle names and with missing account numbers in reports at other banks, so data rules had to be agreed.</t>
  </si>
  <si>
    <t>Agree the field list, masking rules and test customers in one session and share the API contract sheet for sign off; start with the read APIs that unblock prefill.</t>
  </si>
  <si>
    <t>Allow manual entry on the journey and enable prefill when the endpoints open.</t>
  </si>
  <si>
    <t>Federal retention policy</t>
  </si>
  <si>
    <t>7.13</t>
  </si>
  <si>
    <t>Compliance Tracker and Operational Tracker: insurer SLAs, TELE licence, ISNP audit, cyber security audit, vendor due diligence; SOP repository with version control loaded with Federal SOPs</t>
  </si>
  <si>
    <t>D25</t>
  </si>
  <si>
    <t>NSDL PAN verification</t>
  </si>
  <si>
    <t>Approval and access for NSDL PAN verification through the Bank's channel</t>
  </si>
  <si>
    <t>PAN verification not possible, so a policy cannot be sold to a dependent</t>
  </si>
  <si>
    <t>Core IT, Compliance</t>
  </si>
  <si>
    <t>Confirm early whether the Bank's existing NSDL connection can be reused and ask for the same credentials and rate limits for UAT.</t>
  </si>
  <si>
    <t>Collect PAN with format validation and run NSDL verification once access is live.</t>
  </si>
  <si>
    <t>D26</t>
  </si>
  <si>
    <t>cKYC (CERSAI) access</t>
  </si>
  <si>
    <t>cKYC access and credentials for UAT and Production</t>
  </si>
  <si>
    <t>Instant policy issuance impacted</t>
  </si>
  <si>
    <t>Reuse the Bank's existing cKYC connection where possible and request UAT credentials in the same ticket as PAN verification.</t>
  </si>
  <si>
    <t>Use the insurer's cKYC flow for issuance until Bank access is live.</t>
  </si>
  <si>
    <t>D27</t>
  </si>
  <si>
    <t>Vahan API for motor</t>
  </si>
  <si>
    <t>Vahan API access for vehicle details</t>
  </si>
  <si>
    <t>No auto population of vehicle details, so turnaround increases</t>
  </si>
  <si>
    <t>Core IT, Digital</t>
  </si>
  <si>
    <t>Ask whether the Bank already holds Vahan access; if not, request it now because it has the longest approval chain and motor can launch with manual entry.</t>
  </si>
  <si>
    <t>Launch motor with manual vehicle entry and add Vahan in Wave 2.</t>
  </si>
  <si>
    <t>D28</t>
  </si>
  <si>
    <t>Direct Debit API with OTP consent</t>
  </si>
  <si>
    <t>CBS Direct Debit API, OTP service, per transaction limits and reversal handling</t>
  </si>
  <si>
    <t>Policy issuance by Bank debit blocked</t>
  </si>
  <si>
    <t>Core banking, Payments, Risk</t>
  </si>
  <si>
    <t>A Direct Debit taken only after the insurer confirms the proposal is final was agreed at another bank to meet payment timing rules.</t>
  </si>
  <si>
    <t>Share the sequence diagram with OTP and reversal paths for Risk and Payments review in week 1 and agree limits and error codes in the same session.</t>
  </si>
  <si>
    <t>Payments SPOC, then Payments and Infosec heads, then the Bank project POC, then steering call</t>
  </si>
  <si>
    <t>Use the insurer payment gateway for Wave 1 and add Direct Debit in Wave 2.</t>
  </si>
  <si>
    <t>D29</t>
  </si>
  <si>
    <t>Payment gateway API</t>
  </si>
  <si>
    <t>Bank payment gateway API, credentials and callback endpoints for UAT and Production</t>
  </si>
  <si>
    <t>Policy issuance blocked for online payment</t>
  </si>
  <si>
    <t>Payments, Digital, Infosec</t>
  </si>
  <si>
    <t>Federal SOP documents by 30 Oct</t>
  </si>
  <si>
    <t>7.14</t>
  </si>
  <si>
    <t>Compliance UAT by Federal Compliance: execute the traceability matrix test cases</t>
  </si>
  <si>
    <t>At one bank the internet payment gateway has stayed blocked on CISO approval past its 20 Jun target even though Zopper was ready.</t>
  </si>
  <si>
    <t>Raise it on day one together with the payment security approval (D19), name one owner at the Bank and review it weekly at steering; share callback and reconciliation specs early so the Bank reviews once.</t>
  </si>
  <si>
    <t>Use the insurer gateway redirect, which needs no Bank gateway, and add the Bank gateway later.</t>
  </si>
  <si>
    <t>7.3 to 7.13</t>
  </si>
  <si>
    <t>Compliance sign-off and regulatory readiness certificate (RBI RBC, IRDAI, DPDP)</t>
  </si>
  <si>
    <t>D30</t>
  </si>
  <si>
    <t>CRM APIs (CX)</t>
  </si>
  <si>
    <t>CRM APIs and test leads for lead initiation, Lead ID creation and lead status sync back</t>
  </si>
  <si>
    <t>Customer servicing impacted and leads do not flow into the platform</t>
  </si>
  <si>
    <t>CRM, Core IT</t>
  </si>
  <si>
    <t>3.5, 3.9</t>
  </si>
  <si>
    <t>End of November readiness.</t>
  </si>
  <si>
    <t>P8</t>
  </si>
  <si>
    <t>ADMIN, MIS, CAMPAIGN AND COMMUNICATION</t>
  </si>
  <si>
    <t>Share the lead and status payloads as sample JSON for the CRM team to confirm in one session and ask for test leads the same day.</t>
  </si>
  <si>
    <t>Start with lead push into the platform and add status sync in Wave 2.</t>
  </si>
  <si>
    <t>8.1</t>
  </si>
  <si>
    <t>Admin and MIS</t>
  </si>
  <si>
    <t>Admin and RBAC: roles (SP, NSP, Backend Maker, Backend Checker, Branch Head, Business Vertical), SP certification tracking with auto-expiry, audit logs</t>
  </si>
  <si>
    <t>D31</t>
  </si>
  <si>
    <t>Federal role matrix</t>
  </si>
  <si>
    <t>AD FS and HRMS: SSO, 2FA, SP certification, roles</t>
  </si>
  <si>
    <t>8.2</t>
  </si>
  <si>
    <t>AD FS metadata, HRMS API, OTP login service, test users and role groups</t>
  </si>
  <si>
    <t>Login and SP validation blocked; SP certification cannot be enforced</t>
  </si>
  <si>
    <t>User onboarding: single and bulk upload, AD group mapping, hierarchy master load (branch, cluster, region, zone)</t>
  </si>
  <si>
    <t>Identity and access, HR systems</t>
  </si>
  <si>
    <t>3.2, 8.1</t>
  </si>
  <si>
    <t>Send the SSO design and callback URL on day one, ask for AD FS metadata and two test users per role in week 2, and test login the day access arrives.</t>
  </si>
  <si>
    <t>HR systems SPOC, then HR head, then the Bank project POC, then steering call</t>
  </si>
  <si>
    <t>Use platform managed login with OTP for UAT and switch to SSO before go live.</t>
  </si>
  <si>
    <t>User master and org hierarchy by 23 Oct</t>
  </si>
  <si>
    <t>8.3</t>
  </si>
  <si>
    <t>Business MIS and role based dashboards (Branch, Cluster, Regional, Zonal, Business Vertical); standard reports; custom report builder</t>
  </si>
  <si>
    <t>8.4</t>
  </si>
  <si>
    <t>Document management validation: push, search and retrieval, missing document exception report, DPDP audit trail</t>
  </si>
  <si>
    <t>D32</t>
  </si>
  <si>
    <t>DMS API, folder structure, retention rules and test access</t>
  </si>
  <si>
    <t>Documents cannot be stored or retrieved from the Bank DMS</t>
  </si>
  <si>
    <t>DMS owner, Core IT</t>
  </si>
  <si>
    <t>3.6, 8.4</t>
  </si>
  <si>
    <t>Archived documents were not retrievable at another bank until whitelisting was completed.</t>
  </si>
  <si>
    <t>Send the document types and a folder naming proposal for the DMS owner to confirm or correct; request whitelisting with the UAT firewall batch.</t>
  </si>
  <si>
    <t>8.5</t>
  </si>
  <si>
    <t>Store documents in the platform document store and push to the Bank DMS later.</t>
  </si>
  <si>
    <t>D33</t>
  </si>
  <si>
    <t>SMS gateway integration</t>
  </si>
  <si>
    <t>SMS gateway API, sender IDs and test numbers</t>
  </si>
  <si>
    <t>OTP and consent messages fail, so customer consent for BI, premium, payment and policy processing cannot be taken</t>
  </si>
  <si>
    <t>Communications, Core IT</t>
  </si>
  <si>
    <t>OTP and consent SMS failed at other banks until the gateway and templates were fully configured.</t>
  </si>
  <si>
    <t>Request gateway access with the template list so both move together; send a test message the day credentials arrive.</t>
  </si>
  <si>
    <t>Communications SPOC, then channel head, then the Bank project POC, then steering call</t>
  </si>
  <si>
    <t>Test message flows on a temporary gateway in UAT and switch to the Bank gateway before go live.</t>
  </si>
  <si>
    <t>Campaign Management: setup, target upload, fund allocation, milestone approvals, performance dashboard, AI assessment</t>
  </si>
  <si>
    <t>Federal campaign calendar</t>
  </si>
  <si>
    <t>Can move to Wave 2 if bank dependencies slip.</t>
  </si>
  <si>
    <t>8.6</t>
  </si>
  <si>
    <t>Communication</t>
  </si>
  <si>
    <t>Customer communication matrix: SMS, email and WhatsApp triggers for consent, payment, issuance, servicing, feedback and renewal reminders</t>
  </si>
  <si>
    <t>D34</t>
  </si>
  <si>
    <t>SMS template approval (DLT)</t>
  </si>
  <si>
    <t>Approved SMS templates and sender ID registration for consent, OTP, payment, issuance and feedback</t>
  </si>
  <si>
    <t>Messages blocked by the operator and the consent flow fails</t>
  </si>
  <si>
    <t>Communications, Compliance</t>
  </si>
  <si>
    <t>P9</t>
  </si>
  <si>
    <t>HISTORICAL DATA MIGRATION</t>
  </si>
  <si>
    <t>Template and whitelisting gaps reopened SMS issues at another bank after release.</t>
  </si>
  <si>
    <t>Send the full template pack in one batch with wording reviewed by Compliance beforehand and track each template to approval in the stand up.</t>
  </si>
  <si>
    <t>Go live with the approved subset and add the rest as they clear.</t>
  </si>
  <si>
    <t>9.1</t>
  </si>
  <si>
    <t>Data migration</t>
  </si>
  <si>
    <t>Legacy data scope, templates and field mapping with Federal Bank: policy, commission and renewal data</t>
  </si>
  <si>
    <t>D35</t>
  </si>
  <si>
    <t>Email gateway and sender domain</t>
  </si>
  <si>
    <t>Email gateway, sender domain and SPF and DKIM set up</t>
  </si>
  <si>
    <t>Consent, receipt and policy emails not delivered</t>
  </si>
  <si>
    <t>Communications, Network</t>
  </si>
  <si>
    <t>Ask for the gateway and domain settings together with the SMS request.</t>
  </si>
  <si>
    <t>Send from a Zopper domain in UAT and move to the Bank domain for go live.</t>
  </si>
  <si>
    <t>Federal data owners</t>
  </si>
  <si>
    <t>9.2</t>
  </si>
  <si>
    <t>Federal Bank delivers legacy extracts: policy master, commission, SP and branch data</t>
  </si>
  <si>
    <t>Need-by 30 Oct.</t>
  </si>
  <si>
    <t>9.3</t>
  </si>
  <si>
    <t>D36</t>
  </si>
  <si>
    <t>Data cleansing, transformation and validation scripts</t>
  </si>
  <si>
    <t>WhatsApp API and template approval</t>
  </si>
  <si>
    <t>Bank WhatsApp Business account or provider, API access and approved templates</t>
  </si>
  <si>
    <t>WhatsApp consent and updates unavailable</t>
  </si>
  <si>
    <t>Communications, Digital</t>
  </si>
  <si>
    <t>WhatsApp integration went live at another bank after 6 months of platform deployment.</t>
  </si>
  <si>
    <t>Confirm the Bank's provider this week and submit templates for approval in the first batch, since approvals run outside the Bank.</t>
  </si>
  <si>
    <t>Use SMS and email only for Wave 1 and add WhatsApp when approved.</t>
  </si>
  <si>
    <t>9.4</t>
  </si>
  <si>
    <t>Trial load into UAT; reconcile migrated data against source counts and premium totals</t>
  </si>
  <si>
    <t>9.5</t>
  </si>
  <si>
    <t>Migration sign-off by Federal Bank</t>
  </si>
  <si>
    <t>D37</t>
  </si>
  <si>
    <t>SFTP integration</t>
  </si>
  <si>
    <t>SFTP hosts, folders, keys and ports for file exchange with bank systems and MIS</t>
  </si>
  <si>
    <t>File based feeds and reports cannot flow</t>
  </si>
  <si>
    <t>Infra, Unix team</t>
  </si>
  <si>
    <t>2.3, 2.5</t>
  </si>
  <si>
    <t>9.6</t>
  </si>
  <si>
    <t>Final cutover load into production</t>
  </si>
  <si>
    <t>Send the key exchange and folder layout in advance, include the SFTP port in the firewall batch and test the connection with the Unix engineer the day it opens.</t>
  </si>
  <si>
    <t>Use API based feeds first and add file based feeds after.</t>
  </si>
  <si>
    <t>9.5, 2.10</t>
  </si>
  <si>
    <t>P10</t>
  </si>
  <si>
    <t>TESTING AND UAT</t>
  </si>
  <si>
    <t>10.1</t>
  </si>
  <si>
    <t>Test strategy, test cases and test data with traceability to the 13 modules and the regulatory matrix</t>
  </si>
  <si>
    <t>D38</t>
  </si>
  <si>
    <t>Bank MIS and data warehouse feed</t>
  </si>
  <si>
    <t>MIS report formats and the data warehouse push and pull specification</t>
  </si>
  <si>
    <t>Bank reports not usable; MIS format finalisation delays</t>
  </si>
  <si>
    <t>MIS, Data warehouse</t>
  </si>
  <si>
    <t>At another bank the business had to share file templates before an MIS upload layer could be built.</t>
  </si>
  <si>
    <t>Send the standard MIS pack with each field defined and ask the Bank to mark changes only.</t>
  </si>
  <si>
    <t>10.2</t>
  </si>
  <si>
    <t>Provide platform reports first and add Bank format feeds in Wave 2.</t>
  </si>
  <si>
    <t>Internal QA on staging: functional, integration and regression across all journeys and all insurers</t>
  </si>
  <si>
    <t>10.3</t>
  </si>
  <si>
    <t>Early access walkthrough on staging for Federal Business, Operations and Digital teams; feedback logged</t>
  </si>
  <si>
    <t>D39</t>
  </si>
  <si>
    <t>Reverse feed fields and frequency</t>
  </si>
  <si>
    <t>Target fields, systems and frequency for reverse feed of issuance, endorsement, cancellation, claim and renewal status</t>
  </si>
  <si>
    <t>Bank systems miss policy status and reconciliation depends on it</t>
  </si>
  <si>
    <t>CRM, Data warehouse, Operations</t>
  </si>
  <si>
    <t>Propose the field list and a real time versus batch choice on one page and ask for a yes or edits.</t>
  </si>
  <si>
    <t>Gives UAT a head start ahead of the festival days.</t>
  </si>
  <si>
    <t>Start with a daily batch file and move to real time later.</t>
  </si>
  <si>
    <t>UAT Release: release candidate deployed to Federal UAT with UAT kit (scripts, credentials, known issues)</t>
  </si>
  <si>
    <t>2.6, 3.10, 10.2</t>
  </si>
  <si>
    <t>10.5</t>
  </si>
  <si>
    <t>UAT Cycle 1: Federal Business, Operations, Compliance and Digital teams execute scripts (Assisted, Mobile, Internet, Group, Recon, MIS)</t>
  </si>
  <si>
    <t>D40</t>
  </si>
  <si>
    <t>Federal UAT testers named</t>
  </si>
  <si>
    <t>10.6</t>
  </si>
  <si>
    <t>Defect fixing and retest with daily triage; release builds twice a week</t>
  </si>
  <si>
    <t xml:space="preserve">LOS or loan system data </t>
  </si>
  <si>
    <t>Confirm whether loan data is needed beyond CBS prefill for group credit cover; if yes, LOS API and test data</t>
  </si>
  <si>
    <t>Group journeys cannot pull loan details</t>
  </si>
  <si>
    <t>10.7</t>
  </si>
  <si>
    <t>Lending IT, Core IT</t>
  </si>
  <si>
    <t>UAT Cycle 2 and full regression</t>
  </si>
  <si>
    <t>10.8</t>
  </si>
  <si>
    <t>Settle scope in week 1: if CBS prefill covers the fields, mark this not applicable; if not, raise the LOS request at once because it has the longest chain.</t>
  </si>
  <si>
    <t>Insurer UAT sign-off letters collected from all 8 insurers</t>
  </si>
  <si>
    <t>Collect loan details on the journey for the first release.</t>
  </si>
  <si>
    <t>4.3.4, 4.4.3 to 4.10.3</t>
  </si>
  <si>
    <t>UAT sign-off by Federal Bank: business, operations, compliance, Infosec</t>
  </si>
  <si>
    <t>10.7, 10.8, 2.14, 6.10, 7.15</t>
  </si>
  <si>
    <t>D41</t>
  </si>
  <si>
    <t>P11</t>
  </si>
  <si>
    <t>TRAINING, DOCUMENTATION AND ADOPTION</t>
  </si>
  <si>
    <t>Production connectivity and test users for bank systems</t>
  </si>
  <si>
    <t>Production endpoints, credentials and test users for CBS, AD FS, CRM, DMS, SMS and MIS</t>
  </si>
  <si>
    <t>Go live blocked even after UAT sign off</t>
  </si>
  <si>
    <t>Core IT, Infra</t>
  </si>
  <si>
    <t>12.2</t>
  </si>
  <si>
    <t>11.1</t>
  </si>
  <si>
    <t>Training</t>
  </si>
  <si>
    <t>Training plan and role based material: Branch RM, SP, Operations, Compliance, Admin; quick reference guides</t>
  </si>
  <si>
    <t>Ask for production access as a checklist in the UAT release mail and raise it before UAT starts so it runs in parallel.</t>
  </si>
  <si>
    <t>No workaround, so protect this date.</t>
  </si>
  <si>
    <t>11.2</t>
  </si>
  <si>
    <t>Documentation</t>
  </si>
  <si>
    <t>Technical and user documentation: solution architecture, API specs, data dictionary, user manuals per role, admin guide, operational runbook</t>
  </si>
  <si>
    <t>11.3</t>
  </si>
  <si>
    <t>DIGITAL CHANNELS</t>
  </si>
  <si>
    <t>Pilot branch selection and user list finalised</t>
  </si>
  <si>
    <t>Pilot branch list</t>
  </si>
  <si>
    <t>11.4</t>
  </si>
  <si>
    <t>Train the trainer for Federal trainers and pilot branch champions</t>
  </si>
  <si>
    <t>D42</t>
  </si>
  <si>
    <t>Digital Channels</t>
  </si>
  <si>
    <t>Mobile Banking release train slot</t>
  </si>
  <si>
    <t>Confirm the app release slot that carries the insurance entry point</t>
  </si>
  <si>
    <t>Mobile Banking misses the 3 Dec go live and follows on the next release</t>
  </si>
  <si>
    <t>Digital banking</t>
  </si>
  <si>
    <t>Delivery manager</t>
  </si>
  <si>
    <t>11.5</t>
  </si>
  <si>
    <t>Pilot branch RM and SP training</t>
  </si>
  <si>
    <t>11.3, 11.4</t>
  </si>
  <si>
    <t>11.6</t>
  </si>
  <si>
    <t>Support</t>
  </si>
  <si>
    <t>Support desk setup: L1, L2 and L3 matrix, ticketing, SLAs, escalation, on-call roster</t>
  </si>
  <si>
    <t>Federal support contacts</t>
  </si>
  <si>
    <t>P12</t>
  </si>
  <si>
    <t>PRODUCTION READINESS AND GO-LIVE</t>
  </si>
  <si>
    <t>Ask for the release calendar at kick off and book the slot against the code freeze date; share the entry point change list so the Digital team sizes it early.</t>
  </si>
  <si>
    <t>Digital SPOC, then Digital banking head, then the Bank project POC, then steering call</t>
  </si>
  <si>
    <t>Go-Live</t>
  </si>
  <si>
    <t>Go live on Internet Banking and Assisted and add Mobile on the next release.</t>
  </si>
  <si>
    <t>Insurer production credentials, IP whitelisting on bank proxy and connectivity tests for all 8 insurers</t>
  </si>
  <si>
    <t>Insurer production credentials; Federal firewall changes</t>
  </si>
  <si>
    <t>Bank system production connectivity (CBS, AD FS, CRM, DMS, SMS, MIS) and production test users</t>
  </si>
  <si>
    <t>12.3</t>
  </si>
  <si>
    <t>Go-live runbook, cutover plan, rollback plan and communication plan</t>
  </si>
  <si>
    <t>12.4</t>
  </si>
  <si>
    <t>Change request submission and CAB approval; change window booked and freeze dates checked</t>
  </si>
  <si>
    <t>Federal change management</t>
  </si>
  <si>
    <t>12.5</t>
  </si>
  <si>
    <t>Production release deployment to DC and DR</t>
  </si>
  <si>
    <t>10.9, 12.4</t>
  </si>
  <si>
    <t>12.6</t>
  </si>
  <si>
    <t>Production configuration, product and master data load; insurer production smoke tests</t>
  </si>
  <si>
    <t>12.7</t>
  </si>
  <si>
    <t>Production smoke test across Assisted, Mobile Banking, Internet Banking and Group; regulatory control spot checks</t>
  </si>
  <si>
    <t>Go/No-Go review with Federal Bank leadership</t>
  </si>
  <si>
    <t>Production go-live: pilot branches, Mobile Banking, Internet Banking, Assisted and Group; Wave 1 products</t>
  </si>
  <si>
    <t>Day 1 and day 2 production monitoring: transactions, insurer callbacks, EOD batch, first reconciliation run</t>
  </si>
  <si>
    <t>P13</t>
  </si>
  <si>
    <t>POST GO-LIVE STABILISATION, ROLLOUT AND WAVE 2 (CALENDAR YEAR BUFFER)</t>
  </si>
  <si>
    <t>D43</t>
  </si>
  <si>
    <t>Mobile Banking entry point and SSO in the app</t>
  </si>
  <si>
    <t>Insurance entry point, SSO or token handoff and web view enabled in a Bank UAT app build for Android and iOS</t>
  </si>
  <si>
    <t>DIY journeys cannot launch on Mobile Banking</t>
  </si>
  <si>
    <t>13.1</t>
  </si>
  <si>
    <t>Digital banking, App security</t>
  </si>
  <si>
    <t>Daily production health review, defect triage and hot fixes</t>
  </si>
  <si>
    <t>5.7, 5.9, 5.10</t>
  </si>
  <si>
    <t>Agree the handoff design in week 1, send a working web view URL early so the Bank team tests before its build, and keep the change small enough to fit one release.</t>
  </si>
  <si>
    <t>Launch Mobile Banking in a later release while the other channels go live.</t>
  </si>
  <si>
    <t>Adoption</t>
  </si>
  <si>
    <t>Full branch rollout in waves with branch level training</t>
  </si>
  <si>
    <t>Federal branch rollout list</t>
  </si>
  <si>
    <t>13.3</t>
  </si>
  <si>
    <t>Live EOD reconciliation runs, exception review and weekly reconciliation review with Federal Finance</t>
  </si>
  <si>
    <t>D44</t>
  </si>
  <si>
    <t>Internet Banking entry point and SSO</t>
  </si>
  <si>
    <t>Insurance entry point, SSO or redirect and session settings in Internet Banking UAT</t>
  </si>
  <si>
    <t>DIY journeys cannot launch on Internet Banking</t>
  </si>
  <si>
    <t>13.4</t>
  </si>
  <si>
    <t>Delta load of historical data and migration closure</t>
  </si>
  <si>
    <t>5.11, 5.13, 5.14</t>
  </si>
  <si>
    <t>Domain users could not reach the platform from bank networks at one bank until the bank infra team investigated, so test from a bank network early.</t>
  </si>
  <si>
    <t>Share the redirect or frame design in week 1 and test from a bank network the day the entry point is live.</t>
  </si>
  <si>
    <t>Go live with Assisted journeys and add Internet Banking when the entry point is ready.</t>
  </si>
  <si>
    <t>13.5</t>
  </si>
  <si>
    <t>Wave 2 build: BAGIC and TAGIC products proposed post go-live, subject to insurer API availability and underwriting referral process</t>
  </si>
  <si>
    <t>BAGIC, TAGIC</t>
  </si>
  <si>
    <t>Insurer API availability</t>
  </si>
  <si>
    <t>13.6</t>
  </si>
  <si>
    <t>Wave 2 insurer UAT and production release</t>
  </si>
  <si>
    <t>D45</t>
  </si>
  <si>
    <t>ISNP certificate for DIY journeys</t>
  </si>
  <si>
    <t>Copy of the Bank's ISNP certificate, or a confirmed date for it</t>
  </si>
  <si>
    <t>13.7</t>
  </si>
  <si>
    <t>Regulatory requirement; DIY journeys on Mobile and Internet Banking cannot be launched</t>
  </si>
  <si>
    <t>Compliance, Bancassurance</t>
  </si>
  <si>
    <t>Wave 2 servicing actions dependent on insurer APIs, and standalone renewal journey</t>
  </si>
  <si>
    <t>5.8, 5.12</t>
  </si>
  <si>
    <t>Ask on day one whether the Bank already holds the certificate; if yes, collect the copy this week; if not, escalate at once because the approval time is outside our control.</t>
  </si>
  <si>
    <t>Compliance SPOC, then Compliance head, then the Bank project POC, then steering call</t>
  </si>
  <si>
    <t>Go live on Assisted channels and launch DIY when the certificate is in place.</t>
  </si>
  <si>
    <t>Full DR drill and closure of findings</t>
  </si>
  <si>
    <t>Federal Infra</t>
  </si>
  <si>
    <t>13.9</t>
  </si>
  <si>
    <t>Adoption campaign and branch contest launch through the Campaign module</t>
  </si>
  <si>
    <t>BUSINESS AND REGULATORY INPUTS</t>
  </si>
  <si>
    <t>12.9, 8.5</t>
  </si>
  <si>
    <t>Post go-live review with Federal Bank (adoption, defects, SLAs, backlog, change requests); closure and handover to BAU support</t>
  </si>
  <si>
    <t>13.1 to 13.9</t>
  </si>
  <si>
    <t>Project closure.</t>
  </si>
  <si>
    <t>P14</t>
  </si>
  <si>
    <t>D46</t>
  </si>
  <si>
    <t>PROJECT GOVERNANCE (RECURRING)</t>
  </si>
  <si>
    <t>Business and Regulatory Inputs</t>
  </si>
  <si>
    <t>SP and NSP master</t>
  </si>
  <si>
    <t>Master of specified and non specified persons with IDs, certification dates, branch mapping and status</t>
  </si>
  <si>
    <t>Purchase journey impacted by incorrect mapping; regulatory requirement</t>
  </si>
  <si>
    <t>HR, Bancassurance operations</t>
  </si>
  <si>
    <t>7.9, 8.1, 8.2</t>
  </si>
  <si>
    <t>14.1</t>
  </si>
  <si>
    <t>Weekly steering review and status report every Friday: RAG status, risks, decisions needed, need-by items from Federal Bank</t>
  </si>
  <si>
    <t>Last steering on 24 Dec before closure.</t>
  </si>
  <si>
    <t>14.2</t>
  </si>
  <si>
    <t>Daily stand-up between Zopper and Federal Bank SPOCs through build, UAT, go-live and rollout</t>
  </si>
  <si>
    <t>Send the upload template with sample rows, ask HR for a first extract in week 1 and fix mismatches together the same day.</t>
  </si>
  <si>
    <t>Load the pilot branch users first and bulk load the rest later.</t>
  </si>
  <si>
    <t>D47</t>
  </si>
  <si>
    <t>Org hierarchy and role matrix</t>
  </si>
  <si>
    <t>Branch, cluster, region and zone hierarchy and the role matrix for each user type</t>
  </si>
  <si>
    <t>Dashboards and approvals map to the wrong users</t>
  </si>
  <si>
    <t>HR, Retail operations</t>
  </si>
  <si>
    <t>8.1, 8.2</t>
  </si>
  <si>
    <t>Share the role matrix we propose and ask the Bank to correct it.</t>
  </si>
  <si>
    <t>Use the standard role set and adjust during UAT.</t>
  </si>
  <si>
    <t>D48</t>
  </si>
  <si>
    <t>Product and rate sign off per insurer</t>
  </si>
  <si>
    <t>Bank sign off on product master, rate charts, group schemes, eligibility and commission grid for each insurer</t>
  </si>
  <si>
    <t>Insurer configuration cannot start on 21 Oct</t>
  </si>
  <si>
    <t>Send one sign off sheet per insurer with products prefilled from the 1 Oct plan and ask for corrections only; stagger insurers so approvals arrive daily.</t>
  </si>
  <si>
    <t>Configure the products already confirmed and add others as they are signed off.</t>
  </si>
  <si>
    <t>D49</t>
  </si>
  <si>
    <t>Finance inputs: GL mapping, income recognition, commission grid</t>
  </si>
  <si>
    <t>GL mapping, income recognition rules, commission grid per insurer and sample insurer commission MIS</t>
  </si>
  <si>
    <t>Reconciliation and income reports cannot be configured</t>
  </si>
  <si>
    <t>Finance, Operations</t>
  </si>
  <si>
    <t>Share the reconciliation design with an example for one insurer and ask Finance to confirm the rules against it; Zopper collects the sample commission MIS from insurers.</t>
  </si>
  <si>
    <t>Finance SPOC, then Finance head, then the Bank project POC, then steering call</t>
  </si>
  <si>
    <t>Configure with standard rules and adjust at reconciliation UAT.</t>
  </si>
  <si>
    <t>D50</t>
  </si>
  <si>
    <t>Regulatory workshop and traceability matrix</t>
  </si>
  <si>
    <t>Compliance participation in the regulatory workshop and sign off on the traceability matrix</t>
  </si>
  <si>
    <t>Compliance readiness cannot be certified by 27 Nov</t>
  </si>
  <si>
    <t>7.1, 7.2</t>
  </si>
  <si>
    <t>Send the draft matrix before the workshop with each RBI and IRDAI requirement mapped to a control, so the session confirms instead of starting it.</t>
  </si>
  <si>
    <t>Proceed on the draft matrix and record changes.</t>
  </si>
  <si>
    <t>D51</t>
  </si>
  <si>
    <t>Compliance inputs: feedback script, grievance process, retention policy, report formats, SOPs</t>
  </si>
  <si>
    <t>Customer feedback script, grievance and mis selling complaint process, data retention policy, IRDAI report formats and Bank SOPs</t>
  </si>
  <si>
    <t>Controls built on assumptions need rework</t>
  </si>
  <si>
    <t>Compliance, Customer service, Operations</t>
  </si>
  <si>
    <t>7.5, 7.6, 7.10, 7.12, 7.13</t>
  </si>
  <si>
    <t>Collect all documents with one checklist and offer Zopper defaults for any item the Bank does not have.</t>
  </si>
  <si>
    <t>Use Zopper defaults and mark them for Bank approval at compliance UAT.</t>
  </si>
  <si>
    <t>D52</t>
  </si>
  <si>
    <t>Payment timing and consent opinion for life journeys</t>
  </si>
  <si>
    <t>Compliance view on premium collection sequence relative to underwriting finalisation for life journeys; Zopper collects the insurer view</t>
  </si>
  <si>
    <t>Journey may need redesign close to UAT</t>
  </si>
  <si>
    <t>Compliance, Retail Bancassurance</t>
  </si>
  <si>
    <t>At another bank the debit was agreed to follow the insurer's confirmation that the proposal is final.</t>
  </si>
  <si>
    <t>Put the proposed sequence on one page and ask Compliance to confirm or change it; Zopper takes the insurer view in parallel.</t>
  </si>
  <si>
    <t>Default to debit after the insurer confirms a final proposal.</t>
  </si>
  <si>
    <t>D53</t>
  </si>
  <si>
    <t>Legacy data extracts</t>
  </si>
  <si>
    <t>Policy master, commission, SP and branch extracts from legacy systems with the agreed fields</t>
  </si>
  <si>
    <t>Historical data cannot be loaded and reports start empty</t>
  </si>
  <si>
    <t>Data owners, Operations</t>
  </si>
  <si>
    <t>9.1, 9.2</t>
  </si>
  <si>
    <t>Agree the field list in the mapping session and ask for a small sample extract first; fix format issues on the sample before the full extract.</t>
  </si>
  <si>
    <t>Go live with new business only and load history as a delta in December.</t>
  </si>
  <si>
    <t>D54</t>
  </si>
  <si>
    <t>Group schemes and member data format</t>
  </si>
  <si>
    <t>Federal specific group schemes and the member data format for group enrollment</t>
  </si>
  <si>
    <t>Group enrollment cannot be configured</t>
  </si>
  <si>
    <t>Retail Bancassurance, Lending</t>
  </si>
  <si>
    <t>Send the member template and ask for one real scheme example.</t>
  </si>
  <si>
    <t>Configure from insurer scheme specs and verify at UAT.</t>
  </si>
  <si>
    <t>D55</t>
  </si>
  <si>
    <t>Incentive and campaign controls review</t>
  </si>
  <si>
    <t>HR and Compliance review of campaign, reward and incentive rules against RBC limits</t>
  </si>
  <si>
    <t>Campaign module launches with controls not accepted</t>
  </si>
  <si>
    <t>HR, Compliance</t>
  </si>
  <si>
    <t>7.8, 8.5</t>
  </si>
  <si>
    <t>Share the current configuration with a short note of the rule each setting enforces and ask for a yes or changes.</t>
  </si>
  <si>
    <t>Launch without incentive features and add them after review.</t>
  </si>
  <si>
    <t>TESTING AND GO LIVE</t>
  </si>
  <si>
    <t>D56</t>
  </si>
  <si>
    <t>Testing and Go Live</t>
  </si>
  <si>
    <t>UAT testers named and trained</t>
  </si>
  <si>
    <t>Named UAT testers from Business, Operations, Compliance and Digital with a release walk through</t>
  </si>
  <si>
    <t>UAT starts late and the window shrinks</t>
  </si>
  <si>
    <t>Retail Bancassurance, Operations</t>
  </si>
  <si>
    <t>Ask for names three weeks ahead, hold a UAT kit walk through on UAT Release day and agree a daily defect call.</t>
  </si>
  <si>
    <t>Run Zopper led UAT with Bank observers for the first cycle.</t>
  </si>
  <si>
    <t>D57</t>
  </si>
  <si>
    <t>UAT execution and defect turnaround</t>
  </si>
  <si>
    <t>Bank executes UAT scripts across Assisted, Mobile, Internet, Group, Reconciliation and MIS and confirms fixes</t>
  </si>
  <si>
    <t>UAT sign off date moves and go live follows</t>
  </si>
  <si>
    <t>Retail Bancassurance, Operations, Digital</t>
  </si>
  <si>
    <t>10.5, 10.7</t>
  </si>
  <si>
    <t>Share a day by day test plan, triage defects daily and release fixes twice a week so retesting stays small.</t>
  </si>
  <si>
    <t>Prioritise P0 scripts and carry P2 items to Wave 2 with Bank agreement.</t>
  </si>
  <si>
    <t>D58</t>
  </si>
  <si>
    <t>Compliance UAT and readiness certificate</t>
  </si>
  <si>
    <t>Compliance executes the traceability matrix test cases and certifies RBI, IRDAI and DPDP readiness</t>
  </si>
  <si>
    <t>Regulatory readiness for end of November not certified</t>
  </si>
  <si>
    <t>7.14, 7.15, M8</t>
  </si>
  <si>
    <t>Share the test cases beforehand, book Compliance time for 11 to 25 Nov and review results every second day.</t>
  </si>
  <si>
    <t>Seek a conditional certificate with open items and dates.</t>
  </si>
  <si>
    <t>D59</t>
  </si>
  <si>
    <t>Reconciliation sign off</t>
  </si>
  <si>
    <t>Finance and Operations sign off after the parallel run on sample and historical data</t>
  </si>
  <si>
    <t>Reconciliation cannot go live</t>
  </si>
  <si>
    <t>6.9, 6.10</t>
  </si>
  <si>
    <t>Run the parallel run with Finance in the room and sign off each insurer as it matches.</t>
  </si>
  <si>
    <t>Sign off insurer by insurer and release those that match.</t>
  </si>
  <si>
    <t>D60</t>
  </si>
  <si>
    <t>Migration sign off</t>
  </si>
  <si>
    <t>Bank confirmation that migrated data matches source counts and premium totals</t>
  </si>
  <si>
    <t>Production load cannot start</t>
  </si>
  <si>
    <t>Operations, Data owners</t>
  </si>
  <si>
    <t>9.4, 9.5</t>
  </si>
  <si>
    <t>Send the reconciliation of counts and totals the day the trial load finishes.</t>
  </si>
  <si>
    <t>Go live without history and load it in December.</t>
  </si>
  <si>
    <t>D61</t>
  </si>
  <si>
    <t>UAT sign off by the Bank</t>
  </si>
  <si>
    <t>Signed UAT sign off from Business, Operations, Compliance and Infosec</t>
  </si>
  <si>
    <t>No production release and the go live date moves</t>
  </si>
  <si>
    <t>Retail Bancassurance, Compliance, Infosec</t>
  </si>
  <si>
    <t>10.9, M9</t>
  </si>
  <si>
    <t>Send a sign off pack with scripts passed, open defects, VAPT closure and the compliance certificate; ask for a named signatory and date a week before.</t>
  </si>
  <si>
    <t>Seek a conditional sign off with a dated list of open items.</t>
  </si>
  <si>
    <t>D62</t>
  </si>
  <si>
    <t>Pilot branch and user list</t>
  </si>
  <si>
    <t>Pilot branches and users for go live and training</t>
  </si>
  <si>
    <t>Training and go live users are not ready</t>
  </si>
  <si>
    <t>Retail Bancassurance, Branch banking</t>
  </si>
  <si>
    <t>Propose a pilot branch mix and ask the Bank to adjust it.</t>
  </si>
  <si>
    <t>Start with the branches of the Bancassurance team.</t>
  </si>
  <si>
    <t>D63</t>
  </si>
  <si>
    <t>Support contacts and L1 L2 matrix</t>
  </si>
  <si>
    <t>Bank L1 and L2 contacts, ticketing route and escalation matrix</t>
  </si>
  <si>
    <t>Go live issues have no route</t>
  </si>
  <si>
    <t>IT service desk, Operations</t>
  </si>
  <si>
    <t>Send the support matrix template and fill the Zopper side first.</t>
  </si>
  <si>
    <t>Route through the Bank project POC's team.</t>
  </si>
  <si>
    <t>D64</t>
  </si>
  <si>
    <t>Change request and CAB approval</t>
  </si>
  <si>
    <t>Change request approved by the change board, production window booked and freeze dates confirmed</t>
  </si>
  <si>
    <t>Production release cannot start on 30 Nov</t>
  </si>
  <si>
    <t>Change management, Infra</t>
  </si>
  <si>
    <t>Ask for the CAB calendar at kick off, submit the change request with the runbook and rollback plan early and pre brief the board members.</t>
  </si>
  <si>
    <t>Change management SPOC, then Infra head, then the Bank project POC, then steering call</t>
  </si>
  <si>
    <t>Move go live by a few days; an emergency window only as a last resort.</t>
  </si>
  <si>
    <t>D65</t>
  </si>
  <si>
    <t>Go/No-Go meeting with Bank leadership</t>
  </si>
  <si>
    <t>Release held</t>
  </si>
  <si>
    <t>Bancassurance Projects, leadership</t>
  </si>
  <si>
    <t>12.8, M11</t>
  </si>
  <si>
    <t>Circulate a go live readiness scorecard two days ahead.</t>
  </si>
  <si>
    <t>D66</t>
  </si>
  <si>
    <t>Branch rollout list</t>
  </si>
  <si>
    <t>Branch wave plan and training schedule for rollout after the pilot</t>
  </si>
  <si>
    <t>Rollout stalls and adoption lags</t>
  </si>
  <si>
    <t>Branch banking, Training</t>
  </si>
  <si>
    <t>Propose waves by region and ask for edits.</t>
  </si>
  <si>
    <t>Roll out region by region as the Bank approves.</t>
  </si>
  <si>
    <t>ESCALATION LADDER (applies to every dependency; the Escalation due column shows the level each open item has reached)</t>
  </si>
  <si>
    <t>Level</t>
  </si>
  <si>
    <t>Trigger</t>
  </si>
  <si>
    <t>Who: Zopper to Federal Bank</t>
  </si>
  <si>
    <t>The ask</t>
  </si>
  <si>
    <t>Typical resolution after escalation (WD)</t>
  </si>
  <si>
    <t>L0</t>
  </si>
  <si>
    <t>Ask raised in writing with a need by date and a prefilled template attached</t>
  </si>
  <si>
    <t>Working owner at Zopper to the Federal Bank functional SPOC</t>
  </si>
  <si>
    <t>Acknowledge, name an owner and give a committed date within 1 working day</t>
  </si>
  <si>
    <t>1</t>
  </si>
  <si>
    <t>L1</t>
  </si>
  <si>
    <t>No committed date after 2 working days of the ask</t>
  </si>
  <si>
    <t>Project lead to the SPOC and the SPOC's lead</t>
  </si>
  <si>
    <t>30 minute working session: agree the committed date and clear blockers on the call</t>
  </si>
  <si>
    <t>2 to 3</t>
  </si>
  <si>
    <t>L2</t>
  </si>
  <si>
    <t>Committed date missed, or 1 working day past need by</t>
  </si>
  <si>
    <t>Project lead and product lead to the Bank project POC</t>
  </si>
  <si>
    <t>Named owner, a new date, and anything the Bank needs from Zopper</t>
  </si>
  <si>
    <t>L3</t>
  </si>
  <si>
    <t>Item blocked, 2 or more working days past need by, or open longer than the typical high</t>
  </si>
  <si>
    <t>Zopper leadership to the functional head and Bank project POC, in the weekly steering or an ad hoc call</t>
  </si>
  <si>
    <t>Decision on date, resources or fallback, logged in the RAID log</t>
  </si>
  <si>
    <t>3 to 5</t>
  </si>
  <si>
    <t>L4</t>
  </si>
  <si>
    <t>5 or more working days past need by, or the go live date is threatened</t>
  </si>
  <si>
    <t>Zopper leadership to the Bank executive sponsor</t>
  </si>
  <si>
    <t>Re baseline decision: move the date, descope to Wave 2 or release with a fallback</t>
  </si>
  <si>
    <t>PUSH PLAYBOOK</t>
  </si>
  <si>
    <t>Ask everything in week 1</t>
  </si>
  <si>
    <t>Raise every P0 infra, security, integration and sign off ask at kick off so the Bank can queue them. The Raise by and Allowance columns show how much time each ask has against the typical high.</t>
  </si>
  <si>
    <t>One request per Bank team</t>
  </si>
  <si>
    <t>Batch asks by Bank team (Infra, Network, Infosec, Core IT, Digital, Compliance, Finance) with a need by date, a template and a named Zopper owner, so each team sees one list and not many mails.</t>
  </si>
  <si>
    <t>Make the yes easy</t>
  </si>
  <si>
    <t>Send prefilled templates, sample payloads, diagrams and rule matrices in the Bank's own formats so the Bank reviews and corrects instead of authoring.</t>
  </si>
  <si>
    <t>Get a committed date within 2 working days</t>
  </si>
  <si>
    <t>An ask without a committed date moves to a working session (L1). Record the date in the Bank committed date column and track against it.</t>
  </si>
  <si>
    <t>Daily dependency stand up and weekly steering</t>
  </si>
  <si>
    <t>15 minutes daily on L0 to L2 items. The 10 reddest and ambers go on the weekly steering page with the decision needed from the Bank.</t>
  </si>
  <si>
    <t>Keep a fallback ready for every P0</t>
  </si>
  <si>
    <t>Staging, mocks and moves to Wave 2 protect the go live date when a Bank item slips. Tell the Bank which fallback applies and from which date.</t>
  </si>
  <si>
    <t>Link asks to dates the Bank cares about</t>
  </si>
  <si>
    <t>RBI Responsible Business Conduct Directions apply from 1 Jan 2027 and the platform is committed to be ready by end of November. Use both when asking for priority.</t>
  </si>
  <si>
    <t>Calibrate with data</t>
  </si>
  <si>
    <t>After the first 10 closures, review the Variance column against typical high and replace the benchmarks with Federal Bank actuals.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</si>
</sst>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 mmm\ yyyy"/>
    <numFmt numFmtId="165" formatCode="d\ mmm"/>
    <numFmt numFmtId="166" formatCode="dd\-mmm\-yy"/>
  </numFmts>
  <fonts count="12">
    <font>
      <sz val="11.0"/>
      <color theme="1"/>
      <name val="Arial"/>
      <scheme val="minor"/>
    </font>
    <font>
      <b/>
      <sz val="16.0"/>
      <color rgb="FF1B2A5E"/>
      <name val="Calibri"/>
    </font>
    <font>
      <sz val="10.0"/>
      <color rgb="FF5B6472"/>
      <name val="Calibri"/>
    </font>
    <font>
      <b/>
      <sz val="10.0"/>
      <color rgb="FF1B2A5E"/>
      <name val="Calibri"/>
    </font>
    <font>
      <i/>
      <sz val="9.0"/>
      <color rgb="FF5B6472"/>
      <name val="Calibri"/>
    </font>
    <font>
      <b/>
      <sz val="9.0"/>
      <color rgb="FFFFFFFF"/>
      <name val="Calibri"/>
    </font>
    <font>
      <b/>
      <sz val="10.0"/>
      <color rgb="FF1F1F1F"/>
      <name val="Calibri"/>
    </font>
    <font/>
    <font>
      <b/>
      <sz val="10.0"/>
      <color rgb="FFFFFFFF"/>
      <name val="Calibri"/>
    </font>
    <font>
      <sz val="10.0"/>
      <color rgb="FF1F1F1F"/>
      <name val="Calibri"/>
    </font>
    <font>
      <b/>
      <sz val="12.0"/>
      <color rgb="FF1B2A5E"/>
      <name val="Calibri"/>
    </font>
    <font>
      <sz val="11.0"/>
      <color theme="1"/>
      <name val="Calibri"/>
    </font>
  </fonts>
  <fills count="8">
    <fill>
      <patternFill patternType="none"/>
    </fill>
    <fill>
      <patternFill patternType="lightGray"/>
    </fill>
    <fill>
      <patternFill patternType="solid">
        <fgColor rgb="FF1B2A5E"/>
        <bgColor rgb="FF1B2A5E"/>
      </patternFill>
    </fill>
    <fill>
      <patternFill patternType="solid">
        <fgColor rgb="FF7F8FB5"/>
        <bgColor rgb="FF7F8FB5"/>
      </patternFill>
    </fill>
    <fill>
      <patternFill patternType="solid">
        <fgColor rgb="FFDBE9F7"/>
        <bgColor rgb="FFDBE9F7"/>
      </patternFill>
    </fill>
    <fill>
      <patternFill patternType="solid">
        <fgColor rgb="FFFFF2CC"/>
        <bgColor rgb="FFFFF2CC"/>
      </patternFill>
    </fill>
    <fill>
      <patternFill patternType="solid">
        <fgColor rgb="FF1C7293"/>
        <bgColor rgb="FF1C7293"/>
      </patternFill>
    </fill>
    <fill>
      <patternFill patternType="solid">
        <fgColor rgb="FFE8651A"/>
        <bgColor rgb="FFE8651A"/>
      </patternFill>
    </fill>
  </fills>
  <borders count="10">
    <border/>
    <border>
      <left/>
      <top/>
      <bottom/>
    </border>
    <border>
      <top/>
      <bottom/>
    </border>
    <border>
      <left/>
      <right/>
      <top/>
      <bottom/>
    </border>
    <border>
      <left style="thin">
        <color rgb="FFC9D1E3"/>
      </left>
      <right style="thin">
        <color rgb="FFC9D1E3"/>
      </right>
      <top style="thin">
        <color rgb="FFC9D1E3"/>
      </top>
      <bottom style="thin">
        <color rgb="FFC9D1E3"/>
      </bottom>
    </border>
    <border>
      <right/>
      <top/>
      <bottom/>
    </border>
    <border>
      <left style="thin">
        <color rgb="FFC9D1E3"/>
      </left>
      <right style="thin">
        <color rgb="FFC9D1E3"/>
      </right>
      <bottom style="thin">
        <color rgb="FFC9D1E3"/>
      </bottom>
    </border>
    <border>
      <left style="thin">
        <color rgb="FFC9D1E3"/>
      </left>
      <top style="thin">
        <color rgb="FFC9D1E3"/>
      </top>
      <bottom style="thin">
        <color rgb="FFC9D1E3"/>
      </bottom>
    </border>
    <border>
      <right style="thin">
        <color rgb="FFC9D1E3"/>
      </right>
      <top style="thin">
        <color rgb="FFC9D1E3"/>
      </top>
      <bottom style="thin">
        <color rgb="FFC9D1E3"/>
      </bottom>
    </border>
    <border>
      <top style="thin">
        <color rgb="FFC9D1E3"/>
      </top>
      <bottom style="thin">
        <color rgb="FFC9D1E3"/>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center" wrapText="1"/>
    </xf>
    <xf borderId="1" fillId="2" fontId="5" numFmtId="0" xfId="0" applyAlignment="1" applyBorder="1" applyFill="1" applyFont="1">
      <alignment horizontal="center" shrinkToFit="0" vertical="center" wrapText="1"/>
    </xf>
    <xf borderId="0" fillId="0" fontId="6" numFmtId="0" xfId="0" applyAlignment="1" applyFont="1">
      <alignment horizontal="right" shrinkToFit="0" vertical="bottom" wrapText="0"/>
    </xf>
    <xf borderId="2" fillId="0" fontId="7" numFmtId="0" xfId="0" applyBorder="1" applyFont="1"/>
    <xf borderId="1" fillId="3" fontId="5" numFmtId="0" xfId="0" applyAlignment="1" applyBorder="1" applyFill="1" applyFont="1">
      <alignment horizontal="center" shrinkToFit="0" vertical="center" wrapText="1"/>
    </xf>
    <xf borderId="3" fillId="2" fontId="5" numFmtId="0" xfId="0" applyAlignment="1" applyBorder="1" applyFill="1" applyFont="1">
      <alignment horizontal="center" shrinkToFit="0" vertical="center" wrapText="1"/>
    </xf>
    <xf borderId="0" fillId="0" fontId="3" numFmtId="164" xfId="0" applyAlignment="1" applyFont="1" applyNumberFormat="1">
      <alignment horizontal="left" shrinkToFit="0" vertical="bottom" wrapText="0"/>
    </xf>
    <xf borderId="0" fillId="0" fontId="4" numFmtId="0" xfId="0" applyAlignment="1" applyFont="1">
      <alignment shrinkToFit="0" vertical="bottom" wrapText="0"/>
    </xf>
    <xf borderId="3" fillId="3" fontId="5" numFmtId="0" xfId="0" applyAlignment="1" applyBorder="1" applyFill="1" applyFont="1">
      <alignment horizontal="center" shrinkToFit="0" vertical="center" wrapText="1"/>
    </xf>
    <xf borderId="4" fillId="2" fontId="8" numFmtId="0" xfId="0" applyAlignment="1" applyBorder="1" applyFill="1" applyFont="1">
      <alignment horizontal="center" shrinkToFit="0" vertical="center" wrapText="1"/>
    </xf>
    <xf borderId="4" fillId="2" fontId="8" numFmtId="165" xfId="0" applyAlignment="1" applyBorder="1" applyFill="1" applyFont="1" applyNumberFormat="1">
      <alignment horizontal="center" shrinkToFit="0" textRotation="90" vertical="center" wrapText="0"/>
    </xf>
    <xf borderId="4" fillId="4" fontId="3" numFmtId="0" xfId="0" applyAlignment="1" applyBorder="1" applyFill="1" applyFont="1">
      <alignment shrinkToFit="0" vertical="center" wrapText="0"/>
    </xf>
    <xf borderId="4" fillId="5" fontId="6" numFmtId="0" xfId="0" applyAlignment="1" applyBorder="1" applyFill="1" applyFont="1">
      <alignment horizontal="center" shrinkToFit="0" vertical="top" wrapText="0"/>
    </xf>
    <xf borderId="4" fillId="5" fontId="9" numFmtId="0" xfId="0" applyAlignment="1" applyBorder="1" applyFill="1" applyFont="1">
      <alignment shrinkToFit="0" vertical="top" wrapText="1"/>
    </xf>
    <xf borderId="4" fillId="5" fontId="6" numFmtId="0" xfId="0" applyAlignment="1" applyBorder="1" applyFill="1" applyFont="1">
      <alignment shrinkToFit="0" vertical="top" wrapText="1"/>
    </xf>
    <xf borderId="4" fillId="5" fontId="9" numFmtId="0" xfId="0" applyAlignment="1" applyBorder="1" applyFill="1" applyFont="1">
      <alignment horizontal="center" shrinkToFit="0" vertical="top" wrapText="0"/>
    </xf>
    <xf borderId="4" fillId="5" fontId="9" numFmtId="166" xfId="0" applyAlignment="1" applyBorder="1" applyFill="1" applyFont="1" applyNumberFormat="1">
      <alignment horizontal="center" shrinkToFit="0" vertical="top" wrapText="0"/>
    </xf>
    <xf borderId="4" fillId="5" fontId="10" numFmtId="0" xfId="0" applyAlignment="1" applyBorder="1" applyFill="1" applyFont="1">
      <alignment horizontal="center" shrinkToFit="0" vertical="top" wrapText="0"/>
    </xf>
    <xf borderId="0" fillId="0" fontId="4" numFmtId="0" xfId="0" applyAlignment="1" applyFont="1">
      <alignment readingOrder="0" shrinkToFit="0" vertical="bottom" wrapText="0"/>
    </xf>
    <xf borderId="1" fillId="2" fontId="8" numFmtId="0" xfId="0" applyAlignment="1" applyBorder="1" applyFill="1" applyFont="1">
      <alignment horizontal="center" shrinkToFit="0" vertical="center" wrapText="1"/>
    </xf>
    <xf borderId="5" fillId="0" fontId="7" numFmtId="0" xfId="0" applyBorder="1" applyFont="1"/>
    <xf borderId="1" fillId="6" fontId="8" numFmtId="0" xfId="0" applyAlignment="1" applyBorder="1" applyFill="1" applyFont="1">
      <alignment horizontal="center" shrinkToFit="0" vertical="center" wrapText="1"/>
    </xf>
    <xf borderId="1" fillId="7" fontId="8" numFmtId="0" xfId="0" applyAlignment="1" applyBorder="1" applyFill="1" applyFont="1">
      <alignment horizontal="center" readingOrder="0" shrinkToFit="0" vertical="center" wrapText="1"/>
    </xf>
    <xf borderId="1" fillId="2" fontId="8" numFmtId="0" xfId="0" applyAlignment="1" applyBorder="1" applyFill="1" applyFont="1">
      <alignment horizontal="center" readingOrder="0" shrinkToFit="0" vertical="center" wrapText="1"/>
    </xf>
    <xf borderId="6" fillId="2" fontId="8" numFmtId="0" xfId="0" applyAlignment="1" applyBorder="1" applyFill="1" applyFont="1">
      <alignment horizontal="center" shrinkToFit="0" vertical="center" wrapText="1"/>
    </xf>
    <xf borderId="4" fillId="0" fontId="6" numFmtId="0" xfId="0" applyAlignment="1" applyBorder="1" applyFont="1">
      <alignment horizontal="center" shrinkToFit="0" vertical="top" wrapText="1"/>
    </xf>
    <xf borderId="4" fillId="0" fontId="9" numFmtId="0" xfId="0" applyAlignment="1" applyBorder="1" applyFont="1">
      <alignment shrinkToFit="0" vertical="top" wrapText="1"/>
    </xf>
    <xf borderId="4" fillId="0" fontId="6" numFmtId="0" xfId="0" applyAlignment="1" applyBorder="1" applyFont="1">
      <alignment shrinkToFit="0" vertical="top" wrapText="1"/>
    </xf>
    <xf borderId="4" fillId="0" fontId="9" numFmtId="0" xfId="0" applyAlignment="1" applyBorder="1" applyFont="1">
      <alignment readingOrder="0" shrinkToFit="0" vertical="top" wrapText="1"/>
    </xf>
    <xf borderId="4" fillId="0" fontId="9" numFmtId="0" xfId="0" applyAlignment="1" applyBorder="1" applyFont="1">
      <alignment horizontal="center" shrinkToFit="0" vertical="top" wrapText="1"/>
    </xf>
    <xf borderId="4" fillId="0" fontId="9" numFmtId="166" xfId="0" applyAlignment="1" applyBorder="1" applyFont="1" applyNumberFormat="1">
      <alignment horizontal="center" shrinkToFit="0" vertical="top" wrapText="1"/>
    </xf>
    <xf borderId="4" fillId="0" fontId="9" numFmtId="1" xfId="0" applyAlignment="1" applyBorder="1" applyFont="1" applyNumberFormat="1">
      <alignment horizontal="center" shrinkToFit="0" vertical="top" wrapText="1"/>
    </xf>
    <xf borderId="4" fillId="4" fontId="3" numFmtId="166" xfId="0" applyAlignment="1" applyBorder="1" applyFill="1" applyFont="1" applyNumberFormat="1">
      <alignment horizontal="center" shrinkToFit="0" vertical="center" wrapText="1"/>
    </xf>
    <xf borderId="4" fillId="4" fontId="3" numFmtId="0" xfId="0" applyAlignment="1" applyBorder="1" applyFill="1" applyFont="1">
      <alignment horizontal="center" shrinkToFit="0" vertical="center" wrapText="1"/>
    </xf>
    <xf borderId="4" fillId="0" fontId="9" numFmtId="0" xfId="0" applyAlignment="1" applyBorder="1" applyFont="1">
      <alignment horizontal="center" shrinkToFit="0" vertical="top" wrapText="0"/>
    </xf>
    <xf borderId="4" fillId="0" fontId="9" numFmtId="166" xfId="0" applyAlignment="1" applyBorder="1" applyFont="1" applyNumberFormat="1">
      <alignment horizontal="center" shrinkToFit="0" vertical="top" wrapText="0"/>
    </xf>
    <xf borderId="4" fillId="0" fontId="6" numFmtId="0" xfId="0" applyAlignment="1" applyBorder="1" applyFont="1">
      <alignment readingOrder="0" shrinkToFit="0" vertical="top" wrapText="1"/>
    </xf>
    <xf borderId="3" fillId="4" fontId="3" numFmtId="0" xfId="0" applyAlignment="1" applyBorder="1" applyFill="1" applyFont="1">
      <alignment shrinkToFit="0" vertical="bottom" wrapText="0"/>
    </xf>
    <xf borderId="3" fillId="2" fontId="8" numFmtId="0" xfId="0" applyAlignment="1" applyBorder="1" applyFill="1" applyFont="1">
      <alignment horizontal="center" shrinkToFit="0" vertical="center" wrapText="1"/>
    </xf>
    <xf borderId="3" fillId="2" fontId="11" numFmtId="0" xfId="0" applyAlignment="1" applyBorder="1" applyFill="1" applyFont="1">
      <alignment shrinkToFit="0" vertical="bottom" wrapText="0"/>
    </xf>
    <xf borderId="7" fillId="0" fontId="9" numFmtId="0" xfId="0" applyAlignment="1" applyBorder="1" applyFont="1">
      <alignment shrinkToFit="0" vertical="top" wrapText="1"/>
    </xf>
    <xf borderId="8" fillId="0" fontId="7" numFmtId="0" xfId="0" applyBorder="1" applyFont="1"/>
    <xf borderId="7" fillId="0" fontId="6" numFmtId="0" xfId="0" applyAlignment="1" applyBorder="1" applyFont="1">
      <alignment shrinkToFit="0" vertical="top" wrapText="1"/>
    </xf>
    <xf borderId="9" fillId="0" fontId="7" numFmtId="0" xfId="0" applyBorder="1" applyFont="1"/>
  </cellXfs>
  <cellStyles count="1">
    <cellStyle xfId="0" name="Normal" builtinId="0"/>
  </cellStyles>
  <dxfs count="19">
    <dxf>
      <font/>
      <fill>
        <patternFill patternType="solid">
          <fgColor rgb="FFAFC0E0"/>
          <bgColor rgb="FFAFC0E0"/>
        </patternFill>
      </fill>
      <border/>
    </dxf>
    <dxf>
      <font/>
      <fill>
        <patternFill patternType="solid">
          <fgColor rgb="FF1B2A5E"/>
          <bgColor rgb="FF1B2A5E"/>
        </patternFill>
      </fill>
      <border/>
    </dxf>
    <dxf>
      <font/>
      <fill>
        <patternFill patternType="solid">
          <fgColor rgb="FFE8651A"/>
          <bgColor rgb="FFE8651A"/>
        </patternFill>
      </fill>
      <border/>
    </dxf>
    <dxf>
      <font/>
      <fill>
        <patternFill patternType="solid">
          <fgColor rgb="FF1C7293"/>
          <bgColor rgb="FF1C7293"/>
        </patternFill>
      </fill>
      <border/>
    </dxf>
    <dxf>
      <font/>
      <fill>
        <patternFill patternType="solid">
          <fgColor rgb="FF7F8FB5"/>
          <bgColor rgb="FF7F8FB5"/>
        </patternFill>
      </fill>
      <border/>
    </dxf>
    <dxf>
      <font/>
      <fill>
        <patternFill patternType="solid">
          <fgColor rgb="FFC6EFCE"/>
          <bgColor rgb="FFC6EFCE"/>
        </patternFill>
      </fill>
      <border/>
    </dxf>
    <dxf>
      <font/>
      <fill>
        <patternFill patternType="solid">
          <fgColor rgb="FFFFEB9C"/>
          <bgColor rgb="FFFFEB9C"/>
        </patternFill>
      </fill>
      <border/>
    </dxf>
    <dxf>
      <font/>
      <fill>
        <patternFill patternType="solid">
          <fgColor rgb="FFFFC7CE"/>
          <bgColor rgb="FFFFC7CE"/>
        </patternFill>
      </fill>
      <border/>
    </dxf>
    <dxf>
      <font/>
      <fill>
        <patternFill patternType="solid">
          <fgColor rgb="FFF8CBAD"/>
          <bgColor rgb="FFF8CBAD"/>
        </patternFill>
      </fill>
      <border/>
    </dxf>
    <dxf>
      <font>
        <b/>
        <color rgb="FFC00000"/>
        <name val="Calibri"/>
      </font>
      <fill>
        <patternFill patternType="none"/>
      </fill>
      <border/>
    </dxf>
    <dxf>
      <font>
        <b/>
        <color rgb="FF8B1A1A"/>
        <name val="Calibri"/>
      </font>
      <fill>
        <patternFill patternType="solid">
          <fgColor rgb="FFF4B6B6"/>
          <bgColor rgb="FFF4B6B6"/>
        </patternFill>
      </fill>
      <border/>
    </dxf>
    <dxf>
      <font/>
      <fill>
        <patternFill patternType="solid">
          <fgColor rgb="FFFFC98A"/>
          <bgColor rgb="FFFFC98A"/>
        </patternFill>
      </fill>
      <border/>
    </dxf>
    <dxf>
      <font/>
      <fill>
        <patternFill patternType="solid">
          <fgColor rgb="FFFFF1B8"/>
          <bgColor rgb="FFFFF1B8"/>
        </patternFill>
      </fill>
      <border/>
    </dxf>
    <dxf>
      <font/>
      <fill>
        <patternFill patternType="solid">
          <fgColor rgb="FFCFE8D5"/>
          <bgColor rgb="FFCFE8D5"/>
        </patternFill>
      </fill>
      <border/>
    </dxf>
    <dxf>
      <font/>
      <fill>
        <patternFill patternType="solid">
          <fgColor rgb="FFFFE08A"/>
          <bgColor rgb="FFFFE08A"/>
        </patternFill>
      </fill>
      <border/>
    </dxf>
    <dxf>
      <font/>
      <fill>
        <patternFill patternType="solid">
          <fgColor rgb="FFE3E7EF"/>
          <bgColor rgb="FFE3E7EF"/>
        </patternFill>
      </fill>
      <border/>
    </dxf>
    <dxf>
      <font/>
      <fill>
        <patternFill patternType="solid">
          <fgColor rgb="FFF4B6B6"/>
          <bgColor rgb="FFF4B6B6"/>
        </patternFill>
      </fill>
      <border/>
    </dxf>
    <dxf>
      <font/>
      <fill>
        <patternFill patternType="solid">
          <fgColor rgb="FFDCEBFA"/>
          <bgColor rgb="FFDCEBFA"/>
        </patternFill>
      </fill>
      <border/>
    </dxf>
    <dxf>
      <font/>
      <fill>
        <patternFill patternType="solid">
          <fgColor rgb="FFE58E8E"/>
          <bgColor rgb="FFE58E8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5.0" topLeftCell="F1" activePane="topRight" state="frozen"/>
      <selection activeCell="G2" sqref="G2" pane="topRight"/>
    </sheetView>
  </sheetViews>
  <sheetFormatPr customHeight="1" defaultColWidth="12.63" defaultRowHeight="15.0" outlineLevelCol="1" outlineLevelRow="1"/>
  <cols>
    <col customWidth="1" min="1" max="1" width="5.25"/>
    <col customWidth="1" min="2" max="2" width="13.13"/>
    <col customWidth="1" min="3" max="3" width="49.0"/>
    <col customWidth="1" min="4" max="4" width="15.75"/>
    <col customWidth="1" min="5" max="5" width="12.25"/>
    <col customWidth="1" min="6" max="6" width="10.88"/>
    <col customWidth="1" min="7" max="8" width="9.63"/>
    <col customWidth="1" min="9" max="9" width="8.38"/>
    <col customWidth="1" min="10" max="21" width="4.5"/>
    <col customWidth="1" min="22" max="23" width="9.63"/>
    <col customWidth="1" min="24" max="24" width="28.0"/>
    <col customWidth="1" min="25" max="25" width="38.5"/>
  </cols>
  <sheetData>
    <row r="1" ht="25.5" customHeight="1">
      <c r="A1" s="1" t="s">
        <v>0</v>
      </c>
    </row>
    <row r="2" ht="15.75" customHeight="1">
      <c r="A2" s="2" t="s">
        <v>1</v>
      </c>
    </row>
    <row r="3" ht="15.75" customHeight="1">
      <c r="A3" s="3" t="s">
        <v>2</v>
      </c>
    </row>
    <row r="4" ht="37.5" customHeight="1">
      <c r="A4" s="4"/>
      <c r="B4" s="4"/>
      <c r="C4" s="4"/>
      <c r="D4" s="4"/>
      <c r="E4" s="4"/>
      <c r="F4" s="4"/>
      <c r="G4" s="4"/>
      <c r="H4" s="4"/>
      <c r="I4" s="4"/>
      <c r="J4" s="5" t="s">
        <v>4</v>
      </c>
      <c r="K4" s="7"/>
      <c r="L4" s="7"/>
      <c r="M4" s="7"/>
      <c r="N4" s="7"/>
      <c r="O4" s="7"/>
      <c r="P4" s="7"/>
      <c r="Q4" s="7"/>
      <c r="R4" s="8" t="s">
        <v>6</v>
      </c>
      <c r="S4" s="7"/>
      <c r="T4" s="7"/>
      <c r="U4" s="7"/>
    </row>
    <row r="5" ht="15.0" customHeight="1">
      <c r="J5" s="9" t="s">
        <v>7</v>
      </c>
      <c r="K5" s="9" t="s">
        <v>8</v>
      </c>
      <c r="L5" s="9" t="s">
        <v>9</v>
      </c>
      <c r="M5" s="9" t="s">
        <v>10</v>
      </c>
      <c r="N5" s="9" t="s">
        <v>11</v>
      </c>
      <c r="O5" s="9" t="s">
        <v>12</v>
      </c>
      <c r="P5" s="9" t="s">
        <v>13</v>
      </c>
      <c r="Q5" s="9" t="s">
        <v>14</v>
      </c>
      <c r="R5" s="12" t="s">
        <v>15</v>
      </c>
      <c r="S5" s="12" t="s">
        <v>16</v>
      </c>
      <c r="T5" s="12" t="s">
        <v>17</v>
      </c>
      <c r="U5" s="12" t="s">
        <v>18</v>
      </c>
    </row>
    <row r="6" ht="43.5" customHeight="1">
      <c r="A6" s="13" t="s">
        <v>19</v>
      </c>
      <c r="B6" s="13" t="s">
        <v>20</v>
      </c>
      <c r="C6" s="13" t="s">
        <v>21</v>
      </c>
      <c r="D6" s="13" t="s">
        <v>22</v>
      </c>
      <c r="E6" s="13" t="s">
        <v>23</v>
      </c>
      <c r="F6" s="13" t="s">
        <v>24</v>
      </c>
      <c r="G6" s="13" t="s">
        <v>25</v>
      </c>
      <c r="H6" s="13" t="s">
        <v>26</v>
      </c>
      <c r="I6" s="13" t="s">
        <v>27</v>
      </c>
      <c r="J6" s="14">
        <v>46305.0</v>
      </c>
      <c r="K6" s="14">
        <v>46312.0</v>
      </c>
      <c r="L6" s="14">
        <v>46319.0</v>
      </c>
      <c r="M6" s="14">
        <v>46326.0</v>
      </c>
      <c r="N6" s="14">
        <v>46333.0</v>
      </c>
      <c r="O6" s="14">
        <v>46340.0</v>
      </c>
      <c r="P6" s="14">
        <v>46347.0</v>
      </c>
      <c r="Q6" s="14">
        <v>46354.0</v>
      </c>
      <c r="R6" s="14">
        <v>46361.0</v>
      </c>
      <c r="S6" s="14">
        <v>46368.0</v>
      </c>
      <c r="T6" s="14">
        <v>46375.0</v>
      </c>
      <c r="U6" s="14">
        <v>46382.0</v>
      </c>
      <c r="V6" s="13" t="s">
        <v>28</v>
      </c>
      <c r="W6" s="13" t="s">
        <v>29</v>
      </c>
      <c r="X6" s="13" t="s">
        <v>30</v>
      </c>
      <c r="Y6" s="13" t="s">
        <v>31</v>
      </c>
    </row>
    <row r="7" ht="19.5" customHeight="1">
      <c r="A7" s="15" t="s">
        <v>32</v>
      </c>
      <c r="B7" s="15" t="s">
        <v>33</v>
      </c>
      <c r="C7" s="15"/>
      <c r="D7" s="15"/>
      <c r="E7" s="15"/>
      <c r="F7" s="15"/>
      <c r="G7" s="15"/>
      <c r="H7" s="15"/>
      <c r="I7" s="15"/>
      <c r="J7" s="15"/>
      <c r="K7" s="15"/>
      <c r="L7" s="15"/>
      <c r="M7" s="15"/>
      <c r="N7" s="15"/>
      <c r="O7" s="15"/>
      <c r="P7" s="15"/>
      <c r="Q7" s="15"/>
      <c r="R7" s="15"/>
      <c r="S7" s="15"/>
      <c r="T7" s="15"/>
      <c r="U7" s="15"/>
      <c r="V7" s="15"/>
      <c r="W7" s="15"/>
      <c r="X7" s="15"/>
      <c r="Y7" s="15"/>
    </row>
    <row r="8" ht="30.0" customHeight="1" outlineLevel="1">
      <c r="A8" s="16" t="s">
        <v>34</v>
      </c>
      <c r="B8" s="17" t="s">
        <v>35</v>
      </c>
      <c r="C8" s="18" t="s">
        <v>36</v>
      </c>
      <c r="D8" s="17"/>
      <c r="E8" s="19" t="s">
        <v>37</v>
      </c>
      <c r="F8" s="17"/>
      <c r="G8" s="20">
        <v>46305.0</v>
      </c>
      <c r="H8" s="20">
        <v>46305.0</v>
      </c>
      <c r="I8" s="17"/>
      <c r="J8" s="21" t="s">
        <v>38</v>
      </c>
      <c r="K8" s="21" t="s">
        <v>39</v>
      </c>
      <c r="L8" s="21" t="s">
        <v>39</v>
      </c>
      <c r="M8" s="21" t="s">
        <v>39</v>
      </c>
      <c r="N8" s="21" t="s">
        <v>39</v>
      </c>
      <c r="O8" s="21" t="s">
        <v>39</v>
      </c>
      <c r="P8" s="21" t="s">
        <v>39</v>
      </c>
      <c r="Q8" s="21" t="s">
        <v>39</v>
      </c>
      <c r="R8" s="21" t="s">
        <v>39</v>
      </c>
      <c r="S8" s="21" t="s">
        <v>39</v>
      </c>
      <c r="T8" s="21" t="s">
        <v>39</v>
      </c>
      <c r="U8" s="21" t="s">
        <v>39</v>
      </c>
      <c r="V8" s="19" t="s">
        <v>40</v>
      </c>
      <c r="W8" s="19"/>
      <c r="X8" s="17"/>
      <c r="Y8" s="17" t="s">
        <v>41</v>
      </c>
    </row>
    <row r="9" ht="16.5" customHeight="1" outlineLevel="1">
      <c r="A9" s="16" t="s">
        <v>42</v>
      </c>
      <c r="B9" s="17" t="s">
        <v>35</v>
      </c>
      <c r="C9" s="18" t="s">
        <v>43</v>
      </c>
      <c r="D9" s="17"/>
      <c r="E9" s="19" t="s">
        <v>45</v>
      </c>
      <c r="F9" s="17"/>
      <c r="G9" s="20">
        <v>46307.0</v>
      </c>
      <c r="H9" s="20">
        <v>46307.0</v>
      </c>
      <c r="I9" s="17"/>
      <c r="J9" s="21" t="s">
        <v>38</v>
      </c>
      <c r="K9" s="21" t="s">
        <v>39</v>
      </c>
      <c r="L9" s="21" t="s">
        <v>39</v>
      </c>
      <c r="M9" s="21" t="s">
        <v>39</v>
      </c>
      <c r="N9" s="21" t="s">
        <v>39</v>
      </c>
      <c r="O9" s="21" t="s">
        <v>39</v>
      </c>
      <c r="P9" s="21" t="s">
        <v>39</v>
      </c>
      <c r="Q9" s="21" t="s">
        <v>39</v>
      </c>
      <c r="R9" s="21" t="s">
        <v>39</v>
      </c>
      <c r="S9" s="21" t="s">
        <v>39</v>
      </c>
      <c r="T9" s="21" t="s">
        <v>39</v>
      </c>
      <c r="U9" s="21" t="s">
        <v>39</v>
      </c>
      <c r="V9" s="19" t="s">
        <v>40</v>
      </c>
      <c r="W9" s="19" t="s">
        <v>47</v>
      </c>
      <c r="X9" s="17"/>
      <c r="Y9" s="17" t="s">
        <v>48</v>
      </c>
    </row>
    <row r="10" ht="30.0" customHeight="1" outlineLevel="1">
      <c r="A10" s="16" t="s">
        <v>49</v>
      </c>
      <c r="B10" s="17" t="s">
        <v>35</v>
      </c>
      <c r="C10" s="18" t="s">
        <v>50</v>
      </c>
      <c r="D10" s="17"/>
      <c r="E10" s="19" t="s">
        <v>45</v>
      </c>
      <c r="F10" s="17"/>
      <c r="G10" s="20">
        <v>46316.0</v>
      </c>
      <c r="H10" s="20">
        <v>46316.0</v>
      </c>
      <c r="I10" s="17"/>
      <c r="J10" s="21" t="s">
        <v>39</v>
      </c>
      <c r="K10" s="21" t="s">
        <v>38</v>
      </c>
      <c r="L10" s="21" t="s">
        <v>39</v>
      </c>
      <c r="M10" s="21" t="s">
        <v>39</v>
      </c>
      <c r="N10" s="21" t="s">
        <v>39</v>
      </c>
      <c r="O10" s="21" t="s">
        <v>39</v>
      </c>
      <c r="P10" s="21" t="s">
        <v>39</v>
      </c>
      <c r="Q10" s="21" t="s">
        <v>39</v>
      </c>
      <c r="R10" s="21" t="s">
        <v>39</v>
      </c>
      <c r="S10" s="21" t="s">
        <v>39</v>
      </c>
      <c r="T10" s="21" t="s">
        <v>39</v>
      </c>
      <c r="U10" s="21" t="s">
        <v>39</v>
      </c>
      <c r="V10" s="19" t="s">
        <v>40</v>
      </c>
      <c r="W10" s="19" t="s">
        <v>52</v>
      </c>
      <c r="X10" s="17"/>
      <c r="Y10" s="17"/>
    </row>
    <row r="11" ht="30.0" customHeight="1" outlineLevel="1">
      <c r="A11" s="16" t="s">
        <v>53</v>
      </c>
      <c r="B11" s="17" t="s">
        <v>35</v>
      </c>
      <c r="C11" s="18" t="s">
        <v>54</v>
      </c>
      <c r="D11" s="17"/>
      <c r="E11" s="19" t="s">
        <v>55</v>
      </c>
      <c r="F11" s="17"/>
      <c r="G11" s="20">
        <v>46323.0</v>
      </c>
      <c r="H11" s="20">
        <v>46323.0</v>
      </c>
      <c r="I11" s="17"/>
      <c r="J11" s="21" t="s">
        <v>39</v>
      </c>
      <c r="K11" s="21" t="s">
        <v>39</v>
      </c>
      <c r="L11" s="21" t="s">
        <v>38</v>
      </c>
      <c r="M11" s="21" t="s">
        <v>39</v>
      </c>
      <c r="N11" s="21" t="s">
        <v>39</v>
      </c>
      <c r="O11" s="21" t="s">
        <v>39</v>
      </c>
      <c r="P11" s="21" t="s">
        <v>39</v>
      </c>
      <c r="Q11" s="21" t="s">
        <v>39</v>
      </c>
      <c r="R11" s="21" t="s">
        <v>39</v>
      </c>
      <c r="S11" s="21" t="s">
        <v>39</v>
      </c>
      <c r="T11" s="21" t="s">
        <v>39</v>
      </c>
      <c r="U11" s="21" t="s">
        <v>39</v>
      </c>
      <c r="V11" s="19" t="s">
        <v>40</v>
      </c>
      <c r="W11" s="19" t="s">
        <v>57</v>
      </c>
      <c r="X11" s="17"/>
      <c r="Y11" s="17" t="s">
        <v>58</v>
      </c>
    </row>
    <row r="12" ht="30.0" customHeight="1" outlineLevel="1">
      <c r="A12" s="16" t="s">
        <v>59</v>
      </c>
      <c r="B12" s="17" t="s">
        <v>35</v>
      </c>
      <c r="C12" s="18" t="s">
        <v>60</v>
      </c>
      <c r="D12" s="17"/>
      <c r="E12" s="19" t="s">
        <v>37</v>
      </c>
      <c r="F12" s="17"/>
      <c r="G12" s="20">
        <v>46332.0</v>
      </c>
      <c r="H12" s="20">
        <v>46332.0</v>
      </c>
      <c r="I12" s="17"/>
      <c r="J12" s="21" t="s">
        <v>39</v>
      </c>
      <c r="K12" s="21" t="s">
        <v>39</v>
      </c>
      <c r="L12" s="21" t="s">
        <v>39</v>
      </c>
      <c r="M12" s="21" t="s">
        <v>38</v>
      </c>
      <c r="N12" s="21" t="s">
        <v>39</v>
      </c>
      <c r="O12" s="21" t="s">
        <v>39</v>
      </c>
      <c r="P12" s="21" t="s">
        <v>39</v>
      </c>
      <c r="Q12" s="21" t="s">
        <v>39</v>
      </c>
      <c r="R12" s="21" t="s">
        <v>39</v>
      </c>
      <c r="S12" s="21" t="s">
        <v>39</v>
      </c>
      <c r="T12" s="21" t="s">
        <v>39</v>
      </c>
      <c r="U12" s="21" t="s">
        <v>39</v>
      </c>
      <c r="V12" s="19" t="s">
        <v>40</v>
      </c>
      <c r="W12" s="19" t="s">
        <v>62</v>
      </c>
      <c r="X12" s="17"/>
      <c r="Y12" s="17"/>
    </row>
    <row r="13" ht="16.5" customHeight="1" outlineLevel="1">
      <c r="A13" s="16" t="s">
        <v>63</v>
      </c>
      <c r="B13" s="17" t="s">
        <v>35</v>
      </c>
      <c r="C13" s="18" t="s">
        <v>64</v>
      </c>
      <c r="D13" s="17"/>
      <c r="E13" s="19" t="s">
        <v>37</v>
      </c>
      <c r="F13" s="17"/>
      <c r="G13" s="20">
        <v>46332.0</v>
      </c>
      <c r="H13" s="20">
        <v>46332.0</v>
      </c>
      <c r="I13" s="17"/>
      <c r="J13" s="21" t="s">
        <v>39</v>
      </c>
      <c r="K13" s="21" t="s">
        <v>39</v>
      </c>
      <c r="L13" s="21" t="s">
        <v>39</v>
      </c>
      <c r="M13" s="21" t="s">
        <v>38</v>
      </c>
      <c r="N13" s="21" t="s">
        <v>39</v>
      </c>
      <c r="O13" s="21" t="s">
        <v>39</v>
      </c>
      <c r="P13" s="21" t="s">
        <v>39</v>
      </c>
      <c r="Q13" s="21" t="s">
        <v>39</v>
      </c>
      <c r="R13" s="21" t="s">
        <v>39</v>
      </c>
      <c r="S13" s="21" t="s">
        <v>39</v>
      </c>
      <c r="T13" s="21" t="s">
        <v>39</v>
      </c>
      <c r="U13" s="21" t="s">
        <v>39</v>
      </c>
      <c r="V13" s="19" t="s">
        <v>40</v>
      </c>
      <c r="W13" s="19" t="s">
        <v>65</v>
      </c>
      <c r="X13" s="17"/>
      <c r="Y13" s="17" t="s">
        <v>66</v>
      </c>
    </row>
    <row r="14" ht="30.0" customHeight="1" outlineLevel="1">
      <c r="A14" s="16" t="s">
        <v>67</v>
      </c>
      <c r="B14" s="17" t="s">
        <v>35</v>
      </c>
      <c r="C14" s="18" t="s">
        <v>69</v>
      </c>
      <c r="D14" s="17"/>
      <c r="E14" s="19" t="s">
        <v>70</v>
      </c>
      <c r="F14" s="17"/>
      <c r="G14" s="20">
        <v>46339.0</v>
      </c>
      <c r="H14" s="20">
        <v>46339.0</v>
      </c>
      <c r="I14" s="17"/>
      <c r="J14" s="21" t="s">
        <v>39</v>
      </c>
      <c r="K14" s="21" t="s">
        <v>39</v>
      </c>
      <c r="L14" s="21" t="s">
        <v>39</v>
      </c>
      <c r="M14" s="21" t="s">
        <v>39</v>
      </c>
      <c r="N14" s="21" t="s">
        <v>38</v>
      </c>
      <c r="O14" s="21" t="s">
        <v>39</v>
      </c>
      <c r="P14" s="21" t="s">
        <v>39</v>
      </c>
      <c r="Q14" s="21" t="s">
        <v>39</v>
      </c>
      <c r="R14" s="21" t="s">
        <v>39</v>
      </c>
      <c r="S14" s="21" t="s">
        <v>39</v>
      </c>
      <c r="T14" s="21" t="s">
        <v>39</v>
      </c>
      <c r="U14" s="21" t="s">
        <v>39</v>
      </c>
      <c r="V14" s="19" t="s">
        <v>40</v>
      </c>
      <c r="W14" s="19" t="s">
        <v>79</v>
      </c>
      <c r="X14" s="17"/>
      <c r="Y14" s="17"/>
    </row>
    <row r="15" ht="30.0" customHeight="1" outlineLevel="1">
      <c r="A15" s="16" t="s">
        <v>81</v>
      </c>
      <c r="B15" s="17" t="s">
        <v>35</v>
      </c>
      <c r="C15" s="18" t="s">
        <v>83</v>
      </c>
      <c r="D15" s="17"/>
      <c r="E15" s="19" t="s">
        <v>55</v>
      </c>
      <c r="F15" s="17"/>
      <c r="G15" s="20">
        <v>46353.0</v>
      </c>
      <c r="H15" s="20">
        <v>46353.0</v>
      </c>
      <c r="I15" s="17"/>
      <c r="J15" s="21" t="s">
        <v>39</v>
      </c>
      <c r="K15" s="21" t="s">
        <v>39</v>
      </c>
      <c r="L15" s="21" t="s">
        <v>39</v>
      </c>
      <c r="M15" s="21" t="s">
        <v>39</v>
      </c>
      <c r="N15" s="21" t="s">
        <v>39</v>
      </c>
      <c r="O15" s="21" t="s">
        <v>39</v>
      </c>
      <c r="P15" s="21" t="s">
        <v>38</v>
      </c>
      <c r="Q15" s="21" t="s">
        <v>39</v>
      </c>
      <c r="R15" s="21" t="s">
        <v>39</v>
      </c>
      <c r="S15" s="21" t="s">
        <v>39</v>
      </c>
      <c r="T15" s="21" t="s">
        <v>39</v>
      </c>
      <c r="U15" s="21" t="s">
        <v>39</v>
      </c>
      <c r="V15" s="19" t="s">
        <v>40</v>
      </c>
      <c r="W15" s="19" t="s">
        <v>91</v>
      </c>
      <c r="X15" s="17"/>
      <c r="Y15" s="17" t="s">
        <v>92</v>
      </c>
    </row>
    <row r="16" ht="16.5" customHeight="1" outlineLevel="1">
      <c r="A16" s="16" t="s">
        <v>93</v>
      </c>
      <c r="B16" s="17" t="s">
        <v>35</v>
      </c>
      <c r="C16" s="18" t="s">
        <v>94</v>
      </c>
      <c r="D16" s="17"/>
      <c r="E16" s="19" t="s">
        <v>55</v>
      </c>
      <c r="F16" s="17"/>
      <c r="G16" s="20">
        <v>46353.0</v>
      </c>
      <c r="H16" s="20">
        <v>46353.0</v>
      </c>
      <c r="I16" s="17"/>
      <c r="J16" s="21" t="s">
        <v>39</v>
      </c>
      <c r="K16" s="21" t="s">
        <v>39</v>
      </c>
      <c r="L16" s="21" t="s">
        <v>39</v>
      </c>
      <c r="M16" s="21" t="s">
        <v>39</v>
      </c>
      <c r="N16" s="21" t="s">
        <v>39</v>
      </c>
      <c r="O16" s="21" t="s">
        <v>39</v>
      </c>
      <c r="P16" s="21" t="s">
        <v>38</v>
      </c>
      <c r="Q16" s="21" t="s">
        <v>39</v>
      </c>
      <c r="R16" s="21" t="s">
        <v>39</v>
      </c>
      <c r="S16" s="21" t="s">
        <v>39</v>
      </c>
      <c r="T16" s="21" t="s">
        <v>39</v>
      </c>
      <c r="U16" s="21" t="s">
        <v>39</v>
      </c>
      <c r="V16" s="19" t="s">
        <v>40</v>
      </c>
      <c r="W16" s="19" t="s">
        <v>101</v>
      </c>
      <c r="X16" s="17"/>
      <c r="Y16" s="17" t="s">
        <v>103</v>
      </c>
    </row>
    <row r="17" ht="16.5" customHeight="1" outlineLevel="1">
      <c r="A17" s="16" t="s">
        <v>104</v>
      </c>
      <c r="B17" s="17" t="s">
        <v>35</v>
      </c>
      <c r="C17" s="18" t="s">
        <v>106</v>
      </c>
      <c r="D17" s="17"/>
      <c r="E17" s="19" t="s">
        <v>45</v>
      </c>
      <c r="F17" s="17"/>
      <c r="G17" s="20">
        <v>46353.0</v>
      </c>
      <c r="H17" s="20">
        <v>46353.0</v>
      </c>
      <c r="I17" s="17"/>
      <c r="J17" s="21" t="s">
        <v>39</v>
      </c>
      <c r="K17" s="21" t="s">
        <v>39</v>
      </c>
      <c r="L17" s="21" t="s">
        <v>39</v>
      </c>
      <c r="M17" s="21" t="s">
        <v>39</v>
      </c>
      <c r="N17" s="21" t="s">
        <v>39</v>
      </c>
      <c r="O17" s="21" t="s">
        <v>39</v>
      </c>
      <c r="P17" s="21" t="s">
        <v>38</v>
      </c>
      <c r="Q17" s="21" t="s">
        <v>39</v>
      </c>
      <c r="R17" s="21" t="s">
        <v>39</v>
      </c>
      <c r="S17" s="21" t="s">
        <v>39</v>
      </c>
      <c r="T17" s="21" t="s">
        <v>39</v>
      </c>
      <c r="U17" s="21" t="s">
        <v>39</v>
      </c>
      <c r="V17" s="19" t="s">
        <v>40</v>
      </c>
      <c r="W17" s="19" t="s">
        <v>111</v>
      </c>
      <c r="X17" s="17"/>
      <c r="Y17" s="17"/>
    </row>
    <row r="18" ht="30.0" customHeight="1" outlineLevel="1">
      <c r="A18" s="16" t="s">
        <v>112</v>
      </c>
      <c r="B18" s="17" t="s">
        <v>35</v>
      </c>
      <c r="C18" s="18" t="s">
        <v>113</v>
      </c>
      <c r="D18" s="17"/>
      <c r="E18" s="19" t="s">
        <v>45</v>
      </c>
      <c r="F18" s="17"/>
      <c r="G18" s="20">
        <v>46358.0</v>
      </c>
      <c r="H18" s="20">
        <v>46358.0</v>
      </c>
      <c r="I18" s="17"/>
      <c r="J18" s="21" t="s">
        <v>39</v>
      </c>
      <c r="K18" s="21" t="s">
        <v>39</v>
      </c>
      <c r="L18" s="21" t="s">
        <v>39</v>
      </c>
      <c r="M18" s="21" t="s">
        <v>39</v>
      </c>
      <c r="N18" s="21" t="s">
        <v>39</v>
      </c>
      <c r="O18" s="21" t="s">
        <v>39</v>
      </c>
      <c r="P18" s="21" t="s">
        <v>39</v>
      </c>
      <c r="Q18" s="21" t="s">
        <v>38</v>
      </c>
      <c r="R18" s="21" t="s">
        <v>39</v>
      </c>
      <c r="S18" s="21" t="s">
        <v>39</v>
      </c>
      <c r="T18" s="21" t="s">
        <v>39</v>
      </c>
      <c r="U18" s="21" t="s">
        <v>39</v>
      </c>
      <c r="V18" s="19" t="s">
        <v>40</v>
      </c>
      <c r="W18" s="19" t="s">
        <v>114</v>
      </c>
      <c r="X18" s="17"/>
      <c r="Y18" s="17" t="s">
        <v>115</v>
      </c>
    </row>
    <row r="19" ht="30.0" customHeight="1" outlineLevel="1">
      <c r="A19" s="16" t="s">
        <v>116</v>
      </c>
      <c r="B19" s="17" t="s">
        <v>35</v>
      </c>
      <c r="C19" s="18" t="s">
        <v>117</v>
      </c>
      <c r="D19" s="17"/>
      <c r="E19" s="19" t="s">
        <v>45</v>
      </c>
      <c r="F19" s="17"/>
      <c r="G19" s="20">
        <v>46359.0</v>
      </c>
      <c r="H19" s="20">
        <v>46359.0</v>
      </c>
      <c r="I19" s="17"/>
      <c r="J19" s="21" t="s">
        <v>39</v>
      </c>
      <c r="K19" s="21" t="s">
        <v>39</v>
      </c>
      <c r="L19" s="21" t="s">
        <v>39</v>
      </c>
      <c r="M19" s="21" t="s">
        <v>39</v>
      </c>
      <c r="N19" s="21" t="s">
        <v>39</v>
      </c>
      <c r="O19" s="21" t="s">
        <v>39</v>
      </c>
      <c r="P19" s="21" t="s">
        <v>39</v>
      </c>
      <c r="Q19" s="21" t="s">
        <v>38</v>
      </c>
      <c r="R19" s="21" t="s">
        <v>39</v>
      </c>
      <c r="S19" s="21" t="s">
        <v>39</v>
      </c>
      <c r="T19" s="21" t="s">
        <v>39</v>
      </c>
      <c r="U19" s="21" t="s">
        <v>39</v>
      </c>
      <c r="V19" s="19" t="s">
        <v>40</v>
      </c>
      <c r="W19" s="19" t="s">
        <v>120</v>
      </c>
      <c r="X19" s="17"/>
      <c r="Y19" s="17" t="s">
        <v>121</v>
      </c>
    </row>
    <row r="20" ht="30.0" customHeight="1" outlineLevel="1">
      <c r="A20" s="16" t="s">
        <v>123</v>
      </c>
      <c r="B20" s="17" t="s">
        <v>35</v>
      </c>
      <c r="C20" s="18" t="s">
        <v>124</v>
      </c>
      <c r="D20" s="17"/>
      <c r="E20" s="19" t="s">
        <v>45</v>
      </c>
      <c r="F20" s="17"/>
      <c r="G20" s="20">
        <v>46360.0</v>
      </c>
      <c r="H20" s="20">
        <v>46360.0</v>
      </c>
      <c r="I20" s="17"/>
      <c r="J20" s="21" t="s">
        <v>39</v>
      </c>
      <c r="K20" s="21" t="s">
        <v>39</v>
      </c>
      <c r="L20" s="21" t="s">
        <v>39</v>
      </c>
      <c r="M20" s="21" t="s">
        <v>39</v>
      </c>
      <c r="N20" s="21" t="s">
        <v>39</v>
      </c>
      <c r="O20" s="21" t="s">
        <v>39</v>
      </c>
      <c r="P20" s="21" t="s">
        <v>39</v>
      </c>
      <c r="Q20" s="21" t="s">
        <v>38</v>
      </c>
      <c r="R20" s="21" t="s">
        <v>39</v>
      </c>
      <c r="S20" s="21" t="s">
        <v>39</v>
      </c>
      <c r="T20" s="21" t="s">
        <v>39</v>
      </c>
      <c r="U20" s="21" t="s">
        <v>39</v>
      </c>
      <c r="V20" s="19" t="s">
        <v>40</v>
      </c>
      <c r="W20" s="19" t="s">
        <v>129</v>
      </c>
      <c r="X20" s="17"/>
      <c r="Y20" s="17" t="s">
        <v>130</v>
      </c>
    </row>
    <row r="21" ht="16.5" customHeight="1" outlineLevel="1">
      <c r="A21" s="16" t="s">
        <v>131</v>
      </c>
      <c r="B21" s="17" t="s">
        <v>35</v>
      </c>
      <c r="C21" s="18" t="s">
        <v>132</v>
      </c>
      <c r="D21" s="17"/>
      <c r="E21" s="19" t="s">
        <v>45</v>
      </c>
      <c r="F21" s="17"/>
      <c r="G21" s="20">
        <v>46374.0</v>
      </c>
      <c r="H21" s="20">
        <v>46374.0</v>
      </c>
      <c r="I21" s="17"/>
      <c r="J21" s="21" t="s">
        <v>39</v>
      </c>
      <c r="K21" s="21" t="s">
        <v>39</v>
      </c>
      <c r="L21" s="21" t="s">
        <v>39</v>
      </c>
      <c r="M21" s="21" t="s">
        <v>39</v>
      </c>
      <c r="N21" s="21" t="s">
        <v>39</v>
      </c>
      <c r="O21" s="21" t="s">
        <v>39</v>
      </c>
      <c r="P21" s="21" t="s">
        <v>39</v>
      </c>
      <c r="Q21" s="21" t="s">
        <v>39</v>
      </c>
      <c r="R21" s="21" t="s">
        <v>39</v>
      </c>
      <c r="S21" s="21" t="s">
        <v>38</v>
      </c>
      <c r="T21" s="21" t="s">
        <v>39</v>
      </c>
      <c r="U21" s="21" t="s">
        <v>39</v>
      </c>
      <c r="V21" s="19" t="s">
        <v>40</v>
      </c>
      <c r="W21" s="19" t="s">
        <v>133</v>
      </c>
      <c r="X21" s="17"/>
      <c r="Y21" s="17"/>
    </row>
    <row r="22" ht="30.0" customHeight="1" outlineLevel="1">
      <c r="A22" s="16" t="s">
        <v>134</v>
      </c>
      <c r="B22" s="17" t="s">
        <v>35</v>
      </c>
      <c r="C22" s="18" t="s">
        <v>135</v>
      </c>
      <c r="D22" s="17"/>
      <c r="E22" s="19" t="s">
        <v>45</v>
      </c>
      <c r="F22" s="17"/>
      <c r="G22" s="20">
        <v>46387.0</v>
      </c>
      <c r="H22" s="20">
        <v>46387.0</v>
      </c>
      <c r="I22" s="17"/>
      <c r="J22" s="21" t="s">
        <v>39</v>
      </c>
      <c r="K22" s="21" t="s">
        <v>39</v>
      </c>
      <c r="L22" s="21" t="s">
        <v>39</v>
      </c>
      <c r="M22" s="21" t="s">
        <v>39</v>
      </c>
      <c r="N22" s="21" t="s">
        <v>39</v>
      </c>
      <c r="O22" s="21" t="s">
        <v>39</v>
      </c>
      <c r="P22" s="21" t="s">
        <v>39</v>
      </c>
      <c r="Q22" s="21" t="s">
        <v>39</v>
      </c>
      <c r="R22" s="21" t="s">
        <v>39</v>
      </c>
      <c r="S22" s="21" t="s">
        <v>39</v>
      </c>
      <c r="T22" s="21" t="s">
        <v>39</v>
      </c>
      <c r="U22" s="21" t="s">
        <v>38</v>
      </c>
      <c r="V22" s="19" t="s">
        <v>40</v>
      </c>
      <c r="W22" s="19" t="s">
        <v>136</v>
      </c>
      <c r="X22" s="17"/>
      <c r="Y22" s="17"/>
    </row>
    <row r="23" ht="19.5" customHeight="1">
      <c r="A23" s="15" t="s">
        <v>137</v>
      </c>
      <c r="B23" s="15" t="s">
        <v>138</v>
      </c>
      <c r="C23" s="15"/>
      <c r="D23" s="15"/>
      <c r="E23" s="15"/>
      <c r="F23" s="15"/>
      <c r="G23" s="36">
        <v>46305.0</v>
      </c>
      <c r="H23" s="36">
        <v>46311.0</v>
      </c>
      <c r="I23" s="37">
        <v>5.0</v>
      </c>
      <c r="J23" s="15"/>
      <c r="K23" s="15"/>
      <c r="L23" s="15"/>
      <c r="M23" s="15"/>
      <c r="N23" s="15"/>
      <c r="O23" s="15"/>
      <c r="P23" s="15"/>
      <c r="Q23" s="15"/>
      <c r="R23" s="15"/>
      <c r="S23" s="15"/>
      <c r="T23" s="15"/>
      <c r="U23" s="15"/>
      <c r="V23" s="15"/>
      <c r="W23" s="15"/>
      <c r="X23" s="15"/>
      <c r="Y23" s="15"/>
    </row>
    <row r="24" ht="42.0" customHeight="1" outlineLevel="1">
      <c r="A24" s="38" t="s">
        <v>143</v>
      </c>
      <c r="B24" s="30" t="s">
        <v>144</v>
      </c>
      <c r="C24" s="30" t="s">
        <v>145</v>
      </c>
      <c r="D24" s="30" t="s">
        <v>146</v>
      </c>
      <c r="E24" s="38" t="s">
        <v>37</v>
      </c>
      <c r="F24" s="38" t="s">
        <v>32</v>
      </c>
      <c r="G24" s="39">
        <v>46305.0</v>
      </c>
      <c r="H24" s="39">
        <v>46307.0</v>
      </c>
      <c r="I24" s="38">
        <v>1.0</v>
      </c>
      <c r="J24" s="30"/>
      <c r="K24" s="30"/>
      <c r="L24" s="30"/>
      <c r="M24" s="30"/>
      <c r="N24" s="30"/>
      <c r="O24" s="30"/>
      <c r="P24" s="30"/>
      <c r="Q24" s="30"/>
      <c r="R24" s="30"/>
      <c r="S24" s="30"/>
      <c r="T24" s="30"/>
      <c r="U24" s="30"/>
      <c r="V24" s="38" t="s">
        <v>40</v>
      </c>
      <c r="W24" s="38"/>
      <c r="X24" s="30" t="s">
        <v>147</v>
      </c>
      <c r="Y24" s="30" t="s">
        <v>148</v>
      </c>
    </row>
    <row r="25" ht="28.5" customHeight="1" outlineLevel="1">
      <c r="A25" s="38" t="s">
        <v>47</v>
      </c>
      <c r="B25" s="30" t="s">
        <v>144</v>
      </c>
      <c r="C25" s="30" t="s">
        <v>149</v>
      </c>
      <c r="D25" s="30" t="s">
        <v>150</v>
      </c>
      <c r="E25" s="38" t="s">
        <v>45</v>
      </c>
      <c r="F25" s="38" t="s">
        <v>32</v>
      </c>
      <c r="G25" s="39">
        <v>46307.0</v>
      </c>
      <c r="H25" s="39">
        <v>46307.0</v>
      </c>
      <c r="I25" s="38">
        <v>1.0</v>
      </c>
      <c r="J25" s="30"/>
      <c r="K25" s="30"/>
      <c r="L25" s="30"/>
      <c r="M25" s="30"/>
      <c r="N25" s="30"/>
      <c r="O25" s="30"/>
      <c r="P25" s="30"/>
      <c r="Q25" s="30"/>
      <c r="R25" s="30"/>
      <c r="S25" s="30"/>
      <c r="T25" s="30"/>
      <c r="U25" s="30"/>
      <c r="V25" s="38" t="s">
        <v>40</v>
      </c>
      <c r="W25" s="38" t="s">
        <v>143</v>
      </c>
      <c r="X25" s="30"/>
      <c r="Y25" s="30" t="s">
        <v>48</v>
      </c>
    </row>
    <row r="26" ht="54.75" customHeight="1" outlineLevel="1">
      <c r="A26" s="38" t="s">
        <v>151</v>
      </c>
      <c r="B26" s="30" t="s">
        <v>144</v>
      </c>
      <c r="C26" s="30" t="s">
        <v>152</v>
      </c>
      <c r="D26" s="30" t="s">
        <v>150</v>
      </c>
      <c r="E26" s="38" t="s">
        <v>45</v>
      </c>
      <c r="F26" s="38" t="s">
        <v>32</v>
      </c>
      <c r="G26" s="39">
        <v>46307.0</v>
      </c>
      <c r="H26" s="39">
        <v>46309.0</v>
      </c>
      <c r="I26" s="38">
        <v>3.0</v>
      </c>
      <c r="J26" s="30"/>
      <c r="K26" s="30"/>
      <c r="L26" s="30"/>
      <c r="M26" s="30"/>
      <c r="N26" s="30"/>
      <c r="O26" s="30"/>
      <c r="P26" s="30"/>
      <c r="Q26" s="30"/>
      <c r="R26" s="30"/>
      <c r="S26" s="30"/>
      <c r="T26" s="30"/>
      <c r="U26" s="30"/>
      <c r="V26" s="38" t="s">
        <v>40</v>
      </c>
      <c r="W26" s="38" t="s">
        <v>47</v>
      </c>
      <c r="X26" s="30" t="s">
        <v>153</v>
      </c>
      <c r="Y26" s="30" t="s">
        <v>154</v>
      </c>
    </row>
    <row r="27" ht="28.5" customHeight="1" outlineLevel="1">
      <c r="A27" s="38" t="s">
        <v>155</v>
      </c>
      <c r="B27" s="30" t="s">
        <v>144</v>
      </c>
      <c r="C27" s="30" t="s">
        <v>156</v>
      </c>
      <c r="D27" s="30" t="s">
        <v>150</v>
      </c>
      <c r="E27" s="38" t="s">
        <v>45</v>
      </c>
      <c r="F27" s="38" t="s">
        <v>137</v>
      </c>
      <c r="G27" s="39">
        <v>46307.0</v>
      </c>
      <c r="H27" s="39">
        <v>46311.0</v>
      </c>
      <c r="I27" s="38">
        <v>5.0</v>
      </c>
      <c r="J27" s="30"/>
      <c r="K27" s="30"/>
      <c r="L27" s="30"/>
      <c r="M27" s="30"/>
      <c r="N27" s="30"/>
      <c r="O27" s="30"/>
      <c r="P27" s="30"/>
      <c r="Q27" s="30"/>
      <c r="R27" s="30"/>
      <c r="S27" s="30"/>
      <c r="T27" s="30"/>
      <c r="U27" s="30"/>
      <c r="V27" s="38" t="s">
        <v>40</v>
      </c>
      <c r="W27" s="38" t="s">
        <v>47</v>
      </c>
      <c r="X27" s="30"/>
      <c r="Y27" s="30"/>
    </row>
    <row r="28" ht="42.0" customHeight="1" outlineLevel="1">
      <c r="A28" s="38" t="s">
        <v>157</v>
      </c>
      <c r="B28" s="30" t="s">
        <v>158</v>
      </c>
      <c r="C28" s="30" t="s">
        <v>159</v>
      </c>
      <c r="D28" s="30" t="s">
        <v>146</v>
      </c>
      <c r="E28" s="38" t="s">
        <v>55</v>
      </c>
      <c r="F28" s="38" t="s">
        <v>32</v>
      </c>
      <c r="G28" s="39">
        <v>46307.0</v>
      </c>
      <c r="H28" s="39">
        <v>46311.0</v>
      </c>
      <c r="I28" s="38">
        <v>5.0</v>
      </c>
      <c r="J28" s="30"/>
      <c r="K28" s="30"/>
      <c r="L28" s="30"/>
      <c r="M28" s="30"/>
      <c r="N28" s="30"/>
      <c r="O28" s="30"/>
      <c r="P28" s="30"/>
      <c r="Q28" s="30"/>
      <c r="R28" s="30"/>
      <c r="S28" s="30"/>
      <c r="T28" s="30"/>
      <c r="U28" s="30"/>
      <c r="V28" s="38" t="s">
        <v>40</v>
      </c>
      <c r="W28" s="38" t="s">
        <v>47</v>
      </c>
      <c r="X28" s="30" t="s">
        <v>160</v>
      </c>
      <c r="Y28" s="30" t="s">
        <v>161</v>
      </c>
    </row>
    <row r="29" ht="42.0" customHeight="1" outlineLevel="1">
      <c r="A29" s="38" t="s">
        <v>162</v>
      </c>
      <c r="B29" s="30" t="s">
        <v>144</v>
      </c>
      <c r="C29" s="30" t="s">
        <v>163</v>
      </c>
      <c r="D29" s="30" t="s">
        <v>146</v>
      </c>
      <c r="E29" s="38" t="s">
        <v>37</v>
      </c>
      <c r="F29" s="38" t="s">
        <v>137</v>
      </c>
      <c r="G29" s="39">
        <v>46307.0</v>
      </c>
      <c r="H29" s="39">
        <v>46309.0</v>
      </c>
      <c r="I29" s="38">
        <v>3.0</v>
      </c>
      <c r="J29" s="30"/>
      <c r="K29" s="30"/>
      <c r="L29" s="30"/>
      <c r="M29" s="30"/>
      <c r="N29" s="30"/>
      <c r="O29" s="30"/>
      <c r="P29" s="30"/>
      <c r="Q29" s="30"/>
      <c r="R29" s="30"/>
      <c r="S29" s="30"/>
      <c r="T29" s="30"/>
      <c r="U29" s="30"/>
      <c r="V29" s="38" t="s">
        <v>40</v>
      </c>
      <c r="W29" s="38" t="s">
        <v>47</v>
      </c>
      <c r="X29" s="30"/>
      <c r="Y29" s="30"/>
    </row>
    <row r="30" ht="19.5" customHeight="1">
      <c r="A30" s="15" t="s">
        <v>164</v>
      </c>
      <c r="B30" s="15" t="s">
        <v>165</v>
      </c>
      <c r="C30" s="15"/>
      <c r="D30" s="15"/>
      <c r="E30" s="15"/>
      <c r="F30" s="15"/>
      <c r="G30" s="36">
        <v>46307.0</v>
      </c>
      <c r="H30" s="36">
        <v>46357.0</v>
      </c>
      <c r="I30" s="37">
        <v>33.0</v>
      </c>
      <c r="J30" s="15"/>
      <c r="K30" s="15"/>
      <c r="L30" s="15"/>
      <c r="M30" s="15"/>
      <c r="N30" s="15"/>
      <c r="O30" s="15"/>
      <c r="P30" s="15"/>
      <c r="Q30" s="15"/>
      <c r="R30" s="15"/>
      <c r="S30" s="15"/>
      <c r="T30" s="15"/>
      <c r="U30" s="15"/>
      <c r="V30" s="15"/>
      <c r="W30" s="15"/>
      <c r="X30" s="15"/>
      <c r="Y30" s="15"/>
    </row>
    <row r="31" ht="42.0" customHeight="1" outlineLevel="1">
      <c r="A31" s="38" t="s">
        <v>166</v>
      </c>
      <c r="B31" s="30" t="s">
        <v>167</v>
      </c>
      <c r="C31" s="30" t="s">
        <v>168</v>
      </c>
      <c r="D31" s="30" t="s">
        <v>169</v>
      </c>
      <c r="E31" s="38" t="s">
        <v>37</v>
      </c>
      <c r="F31" s="38" t="s">
        <v>32</v>
      </c>
      <c r="G31" s="39">
        <v>46307.0</v>
      </c>
      <c r="H31" s="39">
        <v>46308.0</v>
      </c>
      <c r="I31" s="38">
        <v>2.0</v>
      </c>
      <c r="J31" s="30"/>
      <c r="K31" s="30"/>
      <c r="L31" s="30"/>
      <c r="M31" s="30"/>
      <c r="N31" s="30"/>
      <c r="O31" s="30"/>
      <c r="P31" s="30"/>
      <c r="Q31" s="30"/>
      <c r="R31" s="30"/>
      <c r="S31" s="30"/>
      <c r="T31" s="30"/>
      <c r="U31" s="30"/>
      <c r="V31" s="38" t="s">
        <v>40</v>
      </c>
      <c r="W31" s="38" t="s">
        <v>47</v>
      </c>
      <c r="X31" s="30" t="s">
        <v>170</v>
      </c>
      <c r="Y31" s="30" t="s">
        <v>171</v>
      </c>
    </row>
    <row r="32" ht="28.5" customHeight="1" outlineLevel="1">
      <c r="A32" s="38" t="s">
        <v>172</v>
      </c>
      <c r="B32" s="30" t="s">
        <v>167</v>
      </c>
      <c r="C32" s="30" t="s">
        <v>173</v>
      </c>
      <c r="D32" s="30" t="s">
        <v>169</v>
      </c>
      <c r="E32" s="38" t="s">
        <v>45</v>
      </c>
      <c r="F32" s="38" t="s">
        <v>32</v>
      </c>
      <c r="G32" s="39">
        <v>46308.0</v>
      </c>
      <c r="H32" s="39">
        <v>46310.0</v>
      </c>
      <c r="I32" s="38">
        <v>3.0</v>
      </c>
      <c r="J32" s="30"/>
      <c r="K32" s="30"/>
      <c r="L32" s="30"/>
      <c r="M32" s="30"/>
      <c r="N32" s="30"/>
      <c r="O32" s="30"/>
      <c r="P32" s="30"/>
      <c r="Q32" s="30"/>
      <c r="R32" s="30"/>
      <c r="S32" s="30"/>
      <c r="T32" s="30"/>
      <c r="U32" s="30"/>
      <c r="V32" s="38" t="s">
        <v>40</v>
      </c>
      <c r="W32" s="38" t="s">
        <v>166</v>
      </c>
      <c r="X32" s="30" t="s">
        <v>174</v>
      </c>
      <c r="Y32" s="30"/>
    </row>
    <row r="33" ht="54.75" customHeight="1" outlineLevel="1">
      <c r="A33" s="38" t="s">
        <v>52</v>
      </c>
      <c r="B33" s="30" t="s">
        <v>167</v>
      </c>
      <c r="C33" s="30" t="s">
        <v>175</v>
      </c>
      <c r="D33" s="30" t="s">
        <v>169</v>
      </c>
      <c r="E33" s="38" t="s">
        <v>45</v>
      </c>
      <c r="F33" s="38" t="s">
        <v>32</v>
      </c>
      <c r="G33" s="39">
        <v>46309.0</v>
      </c>
      <c r="H33" s="39">
        <v>46316.0</v>
      </c>
      <c r="I33" s="38">
        <v>5.0</v>
      </c>
      <c r="J33" s="30"/>
      <c r="K33" s="30"/>
      <c r="L33" s="30"/>
      <c r="M33" s="30"/>
      <c r="N33" s="30"/>
      <c r="O33" s="30"/>
      <c r="P33" s="30"/>
      <c r="Q33" s="30"/>
      <c r="R33" s="30"/>
      <c r="S33" s="30"/>
      <c r="T33" s="30"/>
      <c r="U33" s="30"/>
      <c r="V33" s="38" t="s">
        <v>40</v>
      </c>
      <c r="W33" s="38" t="s">
        <v>166</v>
      </c>
      <c r="X33" s="30" t="s">
        <v>181</v>
      </c>
      <c r="Y33" s="30" t="s">
        <v>182</v>
      </c>
    </row>
    <row r="34" ht="28.5" customHeight="1" outlineLevel="1">
      <c r="A34" s="38" t="s">
        <v>57</v>
      </c>
      <c r="B34" s="30" t="s">
        <v>167</v>
      </c>
      <c r="C34" s="30" t="s">
        <v>184</v>
      </c>
      <c r="D34" s="30" t="s">
        <v>185</v>
      </c>
      <c r="E34" s="38" t="s">
        <v>55</v>
      </c>
      <c r="F34" s="38" t="s">
        <v>32</v>
      </c>
      <c r="G34" s="39">
        <v>46309.0</v>
      </c>
      <c r="H34" s="39">
        <v>46323.0</v>
      </c>
      <c r="I34" s="38">
        <v>10.0</v>
      </c>
      <c r="J34" s="30"/>
      <c r="K34" s="30"/>
      <c r="L34" s="30"/>
      <c r="M34" s="30"/>
      <c r="N34" s="30"/>
      <c r="O34" s="30"/>
      <c r="P34" s="30"/>
      <c r="Q34" s="30"/>
      <c r="R34" s="30"/>
      <c r="S34" s="30"/>
      <c r="T34" s="30"/>
      <c r="U34" s="30"/>
      <c r="V34" s="38" t="s">
        <v>40</v>
      </c>
      <c r="W34" s="38" t="s">
        <v>166</v>
      </c>
      <c r="X34" s="30" t="s">
        <v>188</v>
      </c>
      <c r="Y34" s="30" t="s">
        <v>190</v>
      </c>
    </row>
    <row r="35" ht="28.5" customHeight="1" outlineLevel="1">
      <c r="A35" s="38" t="s">
        <v>191</v>
      </c>
      <c r="B35" s="30" t="s">
        <v>167</v>
      </c>
      <c r="C35" s="30" t="s">
        <v>192</v>
      </c>
      <c r="D35" s="30" t="s">
        <v>185</v>
      </c>
      <c r="E35" s="38" t="s">
        <v>55</v>
      </c>
      <c r="F35" s="38" t="s">
        <v>32</v>
      </c>
      <c r="G35" s="39">
        <v>46316.0</v>
      </c>
      <c r="H35" s="39">
        <v>46325.0</v>
      </c>
      <c r="I35" s="38">
        <v>8.0</v>
      </c>
      <c r="J35" s="30"/>
      <c r="K35" s="30"/>
      <c r="L35" s="30"/>
      <c r="M35" s="30"/>
      <c r="N35" s="30"/>
      <c r="O35" s="30"/>
      <c r="P35" s="30"/>
      <c r="Q35" s="30"/>
      <c r="R35" s="30"/>
      <c r="S35" s="30"/>
      <c r="T35" s="30"/>
      <c r="U35" s="30"/>
      <c r="V35" s="38" t="s">
        <v>40</v>
      </c>
      <c r="W35" s="38" t="s">
        <v>52</v>
      </c>
      <c r="X35" s="30" t="s">
        <v>193</v>
      </c>
      <c r="Y35" s="30"/>
    </row>
    <row r="36" ht="42.0" customHeight="1" outlineLevel="1">
      <c r="A36" s="38" t="s">
        <v>194</v>
      </c>
      <c r="B36" s="30" t="s">
        <v>167</v>
      </c>
      <c r="C36" s="30" t="s">
        <v>195</v>
      </c>
      <c r="D36" s="30" t="s">
        <v>185</v>
      </c>
      <c r="E36" s="38" t="s">
        <v>37</v>
      </c>
      <c r="F36" s="38" t="s">
        <v>32</v>
      </c>
      <c r="G36" s="39">
        <v>46324.0</v>
      </c>
      <c r="H36" s="39">
        <v>46330.0</v>
      </c>
      <c r="I36" s="38">
        <v>5.0</v>
      </c>
      <c r="J36" s="30"/>
      <c r="K36" s="30"/>
      <c r="L36" s="30"/>
      <c r="M36" s="30"/>
      <c r="N36" s="30"/>
      <c r="O36" s="30"/>
      <c r="P36" s="30"/>
      <c r="Q36" s="30"/>
      <c r="R36" s="30"/>
      <c r="S36" s="30"/>
      <c r="T36" s="30"/>
      <c r="U36" s="30"/>
      <c r="V36" s="38" t="s">
        <v>40</v>
      </c>
      <c r="W36" s="38" t="s">
        <v>57</v>
      </c>
      <c r="X36" s="30"/>
      <c r="Y36" s="30"/>
    </row>
    <row r="37" ht="42.0" customHeight="1" outlineLevel="1">
      <c r="A37" s="38" t="s">
        <v>197</v>
      </c>
      <c r="B37" s="30" t="s">
        <v>167</v>
      </c>
      <c r="C37" s="30" t="s">
        <v>198</v>
      </c>
      <c r="D37" s="30" t="s">
        <v>200</v>
      </c>
      <c r="E37" s="38" t="s">
        <v>37</v>
      </c>
      <c r="F37" s="38" t="s">
        <v>137</v>
      </c>
      <c r="G37" s="39">
        <v>46309.0</v>
      </c>
      <c r="H37" s="39">
        <v>46330.0</v>
      </c>
      <c r="I37" s="38">
        <v>15.0</v>
      </c>
      <c r="J37" s="30"/>
      <c r="K37" s="30"/>
      <c r="L37" s="30"/>
      <c r="M37" s="30"/>
      <c r="N37" s="30"/>
      <c r="O37" s="30"/>
      <c r="P37" s="30"/>
      <c r="Q37" s="30"/>
      <c r="R37" s="30"/>
      <c r="S37" s="30"/>
      <c r="T37" s="30"/>
      <c r="U37" s="30"/>
      <c r="V37" s="38" t="s">
        <v>40</v>
      </c>
      <c r="W37" s="38"/>
      <c r="X37" s="30"/>
      <c r="Y37" s="30" t="s">
        <v>206</v>
      </c>
    </row>
    <row r="38" ht="28.5" customHeight="1" outlineLevel="1">
      <c r="A38" s="38" t="s">
        <v>207</v>
      </c>
      <c r="B38" s="30" t="s">
        <v>167</v>
      </c>
      <c r="C38" s="30" t="s">
        <v>209</v>
      </c>
      <c r="D38" s="30" t="s">
        <v>210</v>
      </c>
      <c r="E38" s="38" t="s">
        <v>55</v>
      </c>
      <c r="F38" s="38" t="s">
        <v>32</v>
      </c>
      <c r="G38" s="39">
        <v>46317.0</v>
      </c>
      <c r="H38" s="39">
        <v>46337.0</v>
      </c>
      <c r="I38" s="38">
        <v>13.0</v>
      </c>
      <c r="J38" s="30"/>
      <c r="K38" s="30"/>
      <c r="L38" s="30"/>
      <c r="M38" s="30"/>
      <c r="N38" s="30"/>
      <c r="O38" s="30"/>
      <c r="P38" s="30"/>
      <c r="Q38" s="30"/>
      <c r="R38" s="30"/>
      <c r="S38" s="30"/>
      <c r="T38" s="30"/>
      <c r="U38" s="30"/>
      <c r="V38" s="38" t="s">
        <v>40</v>
      </c>
      <c r="W38" s="38" t="s">
        <v>52</v>
      </c>
      <c r="X38" s="30" t="s">
        <v>188</v>
      </c>
      <c r="Y38" s="30"/>
    </row>
    <row r="39" ht="28.5" customHeight="1" outlineLevel="1">
      <c r="A39" s="38" t="s">
        <v>211</v>
      </c>
      <c r="B39" s="30" t="s">
        <v>167</v>
      </c>
      <c r="C39" s="30" t="s">
        <v>212</v>
      </c>
      <c r="D39" s="30" t="s">
        <v>213</v>
      </c>
      <c r="E39" s="38" t="s">
        <v>55</v>
      </c>
      <c r="F39" s="38" t="s">
        <v>32</v>
      </c>
      <c r="G39" s="39">
        <v>46318.0</v>
      </c>
      <c r="H39" s="39">
        <v>46342.0</v>
      </c>
      <c r="I39" s="38">
        <v>15.0</v>
      </c>
      <c r="J39" s="30"/>
      <c r="K39" s="30"/>
      <c r="L39" s="30"/>
      <c r="M39" s="30"/>
      <c r="N39" s="30"/>
      <c r="O39" s="30"/>
      <c r="P39" s="30"/>
      <c r="Q39" s="30"/>
      <c r="R39" s="30"/>
      <c r="S39" s="30"/>
      <c r="T39" s="30"/>
      <c r="U39" s="30"/>
      <c r="V39" s="38" t="s">
        <v>40</v>
      </c>
      <c r="W39" s="38" t="s">
        <v>52</v>
      </c>
      <c r="X39" s="30" t="s">
        <v>188</v>
      </c>
      <c r="Y39" s="30"/>
    </row>
    <row r="40" ht="28.5" customHeight="1" outlineLevel="1">
      <c r="A40" s="38" t="s">
        <v>111</v>
      </c>
      <c r="B40" s="30" t="s">
        <v>167</v>
      </c>
      <c r="C40" s="30" t="s">
        <v>215</v>
      </c>
      <c r="D40" s="30" t="s">
        <v>216</v>
      </c>
      <c r="E40" s="38" t="s">
        <v>37</v>
      </c>
      <c r="F40" s="38" t="s">
        <v>32</v>
      </c>
      <c r="G40" s="39">
        <v>46338.0</v>
      </c>
      <c r="H40" s="39">
        <v>46353.0</v>
      </c>
      <c r="I40" s="38">
        <v>11.0</v>
      </c>
      <c r="J40" s="30"/>
      <c r="K40" s="30"/>
      <c r="L40" s="30"/>
      <c r="M40" s="30"/>
      <c r="N40" s="30"/>
      <c r="O40" s="30"/>
      <c r="P40" s="30"/>
      <c r="Q40" s="30"/>
      <c r="R40" s="30"/>
      <c r="S40" s="30"/>
      <c r="T40" s="30"/>
      <c r="U40" s="30"/>
      <c r="V40" s="38" t="s">
        <v>40</v>
      </c>
      <c r="W40" s="38" t="s">
        <v>217</v>
      </c>
      <c r="X40" s="30"/>
      <c r="Y40" s="30" t="s">
        <v>218</v>
      </c>
    </row>
    <row r="41" ht="28.5" customHeight="1" outlineLevel="1">
      <c r="A41" s="38" t="s">
        <v>219</v>
      </c>
      <c r="B41" s="30" t="s">
        <v>220</v>
      </c>
      <c r="C41" s="30" t="s">
        <v>222</v>
      </c>
      <c r="D41" s="30" t="s">
        <v>146</v>
      </c>
      <c r="E41" s="38" t="s">
        <v>45</v>
      </c>
      <c r="F41" s="38" t="s">
        <v>137</v>
      </c>
      <c r="G41" s="39">
        <v>46331.0</v>
      </c>
      <c r="H41" s="39">
        <v>46344.0</v>
      </c>
      <c r="I41" s="38">
        <v>8.0</v>
      </c>
      <c r="J41" s="30"/>
      <c r="K41" s="30"/>
      <c r="L41" s="30"/>
      <c r="M41" s="30"/>
      <c r="N41" s="30"/>
      <c r="O41" s="30"/>
      <c r="P41" s="30"/>
      <c r="Q41" s="30"/>
      <c r="R41" s="30"/>
      <c r="S41" s="30"/>
      <c r="T41" s="30"/>
      <c r="U41" s="30"/>
      <c r="V41" s="38" t="s">
        <v>40</v>
      </c>
      <c r="W41" s="38" t="s">
        <v>194</v>
      </c>
      <c r="X41" s="30" t="s">
        <v>228</v>
      </c>
      <c r="Y41" s="30"/>
    </row>
    <row r="42" ht="28.5" customHeight="1" outlineLevel="1">
      <c r="A42" s="38" t="s">
        <v>229</v>
      </c>
      <c r="B42" s="30" t="s">
        <v>220</v>
      </c>
      <c r="C42" s="30" t="s">
        <v>230</v>
      </c>
      <c r="D42" s="30" t="s">
        <v>146</v>
      </c>
      <c r="E42" s="38" t="s">
        <v>37</v>
      </c>
      <c r="F42" s="38" t="s">
        <v>32</v>
      </c>
      <c r="G42" s="39">
        <v>46314.0</v>
      </c>
      <c r="H42" s="39">
        <v>46332.0</v>
      </c>
      <c r="I42" s="38">
        <v>14.0</v>
      </c>
      <c r="J42" s="30"/>
      <c r="K42" s="30"/>
      <c r="L42" s="30"/>
      <c r="M42" s="30"/>
      <c r="N42" s="30"/>
      <c r="O42" s="30"/>
      <c r="P42" s="30"/>
      <c r="Q42" s="30"/>
      <c r="R42" s="30"/>
      <c r="S42" s="30"/>
      <c r="T42" s="30"/>
      <c r="U42" s="30"/>
      <c r="V42" s="38" t="s">
        <v>40</v>
      </c>
      <c r="W42" s="38"/>
      <c r="X42" s="30" t="s">
        <v>231</v>
      </c>
      <c r="Y42" s="30" t="s">
        <v>232</v>
      </c>
    </row>
    <row r="43" ht="28.5" customHeight="1" outlineLevel="1">
      <c r="A43" s="38" t="s">
        <v>233</v>
      </c>
      <c r="B43" s="30" t="s">
        <v>220</v>
      </c>
      <c r="C43" s="30" t="s">
        <v>234</v>
      </c>
      <c r="D43" s="30" t="s">
        <v>185</v>
      </c>
      <c r="E43" s="38" t="s">
        <v>55</v>
      </c>
      <c r="F43" s="38" t="s">
        <v>32</v>
      </c>
      <c r="G43" s="39">
        <v>46337.0</v>
      </c>
      <c r="H43" s="39">
        <v>46344.0</v>
      </c>
      <c r="I43" s="38">
        <v>6.0</v>
      </c>
      <c r="J43" s="30"/>
      <c r="K43" s="30"/>
      <c r="L43" s="30"/>
      <c r="M43" s="30"/>
      <c r="N43" s="30"/>
      <c r="O43" s="30"/>
      <c r="P43" s="30"/>
      <c r="Q43" s="30"/>
      <c r="R43" s="30"/>
      <c r="S43" s="30"/>
      <c r="T43" s="30"/>
      <c r="U43" s="30"/>
      <c r="V43" s="38" t="s">
        <v>40</v>
      </c>
      <c r="W43" s="38" t="s">
        <v>235</v>
      </c>
      <c r="X43" s="30" t="s">
        <v>236</v>
      </c>
      <c r="Y43" s="30"/>
    </row>
    <row r="44" ht="15.75" customHeight="1" outlineLevel="1">
      <c r="A44" s="38" t="s">
        <v>238</v>
      </c>
      <c r="B44" s="30" t="s">
        <v>220</v>
      </c>
      <c r="C44" s="30" t="s">
        <v>240</v>
      </c>
      <c r="D44" s="30" t="s">
        <v>185</v>
      </c>
      <c r="E44" s="38" t="s">
        <v>37</v>
      </c>
      <c r="F44" s="38" t="s">
        <v>32</v>
      </c>
      <c r="G44" s="39">
        <v>46345.0</v>
      </c>
      <c r="H44" s="39">
        <v>46352.0</v>
      </c>
      <c r="I44" s="38">
        <v>5.0</v>
      </c>
      <c r="J44" s="30"/>
      <c r="K44" s="30"/>
      <c r="L44" s="30"/>
      <c r="M44" s="30"/>
      <c r="N44" s="30"/>
      <c r="O44" s="30"/>
      <c r="P44" s="30"/>
      <c r="Q44" s="30"/>
      <c r="R44" s="30"/>
      <c r="S44" s="30"/>
      <c r="T44" s="30"/>
      <c r="U44" s="30"/>
      <c r="V44" s="38" t="s">
        <v>40</v>
      </c>
      <c r="W44" s="38" t="s">
        <v>233</v>
      </c>
      <c r="X44" s="30"/>
      <c r="Y44" s="30" t="s">
        <v>242</v>
      </c>
    </row>
    <row r="45" ht="28.5" customHeight="1" outlineLevel="1">
      <c r="A45" s="38" t="s">
        <v>243</v>
      </c>
      <c r="B45" s="30" t="s">
        <v>244</v>
      </c>
      <c r="C45" s="30" t="s">
        <v>245</v>
      </c>
      <c r="D45" s="30" t="s">
        <v>185</v>
      </c>
      <c r="E45" s="38" t="s">
        <v>45</v>
      </c>
      <c r="F45" s="38" t="s">
        <v>137</v>
      </c>
      <c r="G45" s="39">
        <v>46337.0</v>
      </c>
      <c r="H45" s="39">
        <v>46343.0</v>
      </c>
      <c r="I45" s="38">
        <v>5.0</v>
      </c>
      <c r="J45" s="30"/>
      <c r="K45" s="30"/>
      <c r="L45" s="30"/>
      <c r="M45" s="30"/>
      <c r="N45" s="30"/>
      <c r="O45" s="30"/>
      <c r="P45" s="30"/>
      <c r="Q45" s="30"/>
      <c r="R45" s="30"/>
      <c r="S45" s="30"/>
      <c r="T45" s="30"/>
      <c r="U45" s="30"/>
      <c r="V45" s="38" t="s">
        <v>40</v>
      </c>
      <c r="W45" s="38" t="s">
        <v>246</v>
      </c>
      <c r="X45" s="30" t="s">
        <v>247</v>
      </c>
      <c r="Y45" s="30"/>
    </row>
    <row r="46" ht="28.5" customHeight="1" outlineLevel="1">
      <c r="A46" s="38" t="s">
        <v>248</v>
      </c>
      <c r="B46" s="30" t="s">
        <v>167</v>
      </c>
      <c r="C46" s="30" t="s">
        <v>249</v>
      </c>
      <c r="D46" s="30" t="s">
        <v>216</v>
      </c>
      <c r="E46" s="38" t="s">
        <v>45</v>
      </c>
      <c r="F46" s="38" t="s">
        <v>137</v>
      </c>
      <c r="G46" s="39">
        <v>46356.0</v>
      </c>
      <c r="H46" s="39">
        <v>46357.0</v>
      </c>
      <c r="I46" s="38">
        <v>2.0</v>
      </c>
      <c r="J46" s="30"/>
      <c r="K46" s="30"/>
      <c r="L46" s="30"/>
      <c r="M46" s="30"/>
      <c r="N46" s="30"/>
      <c r="O46" s="30"/>
      <c r="P46" s="30"/>
      <c r="Q46" s="30"/>
      <c r="R46" s="30"/>
      <c r="S46" s="30"/>
      <c r="T46" s="30"/>
      <c r="U46" s="30"/>
      <c r="V46" s="38" t="s">
        <v>40</v>
      </c>
      <c r="W46" s="38" t="s">
        <v>111</v>
      </c>
      <c r="X46" s="30"/>
      <c r="Y46" s="30" t="s">
        <v>250</v>
      </c>
    </row>
    <row r="47" ht="19.5" customHeight="1">
      <c r="A47" s="15" t="s">
        <v>251</v>
      </c>
      <c r="B47" s="15" t="s">
        <v>252</v>
      </c>
      <c r="C47" s="15"/>
      <c r="D47" s="15"/>
      <c r="E47" s="15"/>
      <c r="F47" s="15"/>
      <c r="G47" s="36">
        <v>46309.0</v>
      </c>
      <c r="H47" s="36">
        <v>46332.0</v>
      </c>
      <c r="I47" s="37">
        <v>17.0</v>
      </c>
      <c r="J47" s="15"/>
      <c r="K47" s="15"/>
      <c r="L47" s="15"/>
      <c r="M47" s="15"/>
      <c r="N47" s="15"/>
      <c r="O47" s="15"/>
      <c r="P47" s="15"/>
      <c r="Q47" s="15"/>
      <c r="R47" s="15"/>
      <c r="S47" s="15"/>
      <c r="T47" s="15"/>
      <c r="U47" s="15"/>
      <c r="V47" s="15"/>
      <c r="W47" s="15"/>
      <c r="X47" s="15"/>
      <c r="Y47" s="15"/>
    </row>
    <row r="48" ht="42.0" customHeight="1" outlineLevel="1">
      <c r="A48" s="38" t="s">
        <v>253</v>
      </c>
      <c r="B48" s="30" t="s">
        <v>158</v>
      </c>
      <c r="C48" s="30" t="s">
        <v>254</v>
      </c>
      <c r="D48" s="30" t="s">
        <v>146</v>
      </c>
      <c r="E48" s="38" t="s">
        <v>45</v>
      </c>
      <c r="F48" s="38" t="s">
        <v>32</v>
      </c>
      <c r="G48" s="39">
        <v>46309.0</v>
      </c>
      <c r="H48" s="39">
        <v>46316.0</v>
      </c>
      <c r="I48" s="38">
        <v>5.0</v>
      </c>
      <c r="J48" s="30"/>
      <c r="K48" s="30"/>
      <c r="L48" s="30"/>
      <c r="M48" s="30"/>
      <c r="N48" s="30"/>
      <c r="O48" s="30"/>
      <c r="P48" s="30"/>
      <c r="Q48" s="30"/>
      <c r="R48" s="30"/>
      <c r="S48" s="30"/>
      <c r="T48" s="30"/>
      <c r="U48" s="30"/>
      <c r="V48" s="38" t="s">
        <v>40</v>
      </c>
      <c r="W48" s="38" t="s">
        <v>157</v>
      </c>
      <c r="X48" s="30" t="s">
        <v>255</v>
      </c>
      <c r="Y48" s="30" t="s">
        <v>256</v>
      </c>
    </row>
    <row r="49" ht="28.5" customHeight="1" outlineLevel="1">
      <c r="A49" s="38" t="s">
        <v>257</v>
      </c>
      <c r="B49" s="30" t="s">
        <v>158</v>
      </c>
      <c r="C49" s="30" t="s">
        <v>258</v>
      </c>
      <c r="D49" s="30" t="s">
        <v>146</v>
      </c>
      <c r="E49" s="38" t="s">
        <v>37</v>
      </c>
      <c r="F49" s="38" t="s">
        <v>32</v>
      </c>
      <c r="G49" s="39">
        <v>46317.0</v>
      </c>
      <c r="H49" s="39">
        <v>46329.0</v>
      </c>
      <c r="I49" s="38">
        <v>9.0</v>
      </c>
      <c r="J49" s="30"/>
      <c r="K49" s="30"/>
      <c r="L49" s="30"/>
      <c r="M49" s="30"/>
      <c r="N49" s="30"/>
      <c r="O49" s="30"/>
      <c r="P49" s="30"/>
      <c r="Q49" s="30"/>
      <c r="R49" s="30"/>
      <c r="S49" s="30"/>
      <c r="T49" s="30"/>
      <c r="U49" s="30"/>
      <c r="V49" s="38" t="s">
        <v>40</v>
      </c>
      <c r="W49" s="38" t="s">
        <v>253</v>
      </c>
      <c r="X49" s="30" t="s">
        <v>259</v>
      </c>
      <c r="Y49" s="30"/>
    </row>
    <row r="50" ht="28.5" customHeight="1" outlineLevel="1">
      <c r="A50" s="38" t="s">
        <v>260</v>
      </c>
      <c r="B50" s="30" t="s">
        <v>158</v>
      </c>
      <c r="C50" s="30" t="s">
        <v>261</v>
      </c>
      <c r="D50" s="30" t="s">
        <v>146</v>
      </c>
      <c r="E50" s="38" t="s">
        <v>37</v>
      </c>
      <c r="F50" s="38" t="s">
        <v>32</v>
      </c>
      <c r="G50" s="39">
        <v>46317.0</v>
      </c>
      <c r="H50" s="39">
        <v>46330.0</v>
      </c>
      <c r="I50" s="38">
        <v>10.0</v>
      </c>
      <c r="J50" s="30"/>
      <c r="K50" s="30"/>
      <c r="L50" s="30"/>
      <c r="M50" s="30"/>
      <c r="N50" s="30"/>
      <c r="O50" s="30"/>
      <c r="P50" s="30"/>
      <c r="Q50" s="30"/>
      <c r="R50" s="30"/>
      <c r="S50" s="30"/>
      <c r="T50" s="30"/>
      <c r="U50" s="30"/>
      <c r="V50" s="38" t="s">
        <v>40</v>
      </c>
      <c r="W50" s="38" t="s">
        <v>253</v>
      </c>
      <c r="X50" s="30" t="s">
        <v>262</v>
      </c>
      <c r="Y50" s="30"/>
    </row>
    <row r="51" ht="28.5" customHeight="1" outlineLevel="1">
      <c r="A51" s="38" t="s">
        <v>263</v>
      </c>
      <c r="B51" s="30" t="s">
        <v>158</v>
      </c>
      <c r="C51" s="30" t="s">
        <v>264</v>
      </c>
      <c r="D51" s="30" t="s">
        <v>146</v>
      </c>
      <c r="E51" s="38" t="s">
        <v>37</v>
      </c>
      <c r="F51" s="38" t="s">
        <v>137</v>
      </c>
      <c r="G51" s="39">
        <v>46317.0</v>
      </c>
      <c r="H51" s="39">
        <v>46329.0</v>
      </c>
      <c r="I51" s="38">
        <v>9.0</v>
      </c>
      <c r="J51" s="30"/>
      <c r="K51" s="30"/>
      <c r="L51" s="30"/>
      <c r="M51" s="30"/>
      <c r="N51" s="30"/>
      <c r="O51" s="30"/>
      <c r="P51" s="30"/>
      <c r="Q51" s="30"/>
      <c r="R51" s="30"/>
      <c r="S51" s="30"/>
      <c r="T51" s="30"/>
      <c r="U51" s="30"/>
      <c r="V51" s="38" t="s">
        <v>40</v>
      </c>
      <c r="W51" s="38" t="s">
        <v>253</v>
      </c>
      <c r="X51" s="30" t="s">
        <v>265</v>
      </c>
      <c r="Y51" s="30"/>
    </row>
    <row r="52" ht="28.5" customHeight="1" outlineLevel="1">
      <c r="A52" s="38" t="s">
        <v>266</v>
      </c>
      <c r="B52" s="30" t="s">
        <v>158</v>
      </c>
      <c r="C52" s="30" t="s">
        <v>267</v>
      </c>
      <c r="D52" s="30" t="s">
        <v>268</v>
      </c>
      <c r="E52" s="38" t="s">
        <v>37</v>
      </c>
      <c r="F52" s="38" t="s">
        <v>32</v>
      </c>
      <c r="G52" s="39">
        <v>46317.0</v>
      </c>
      <c r="H52" s="39">
        <v>46330.0</v>
      </c>
      <c r="I52" s="38">
        <v>10.0</v>
      </c>
      <c r="J52" s="30"/>
      <c r="K52" s="30"/>
      <c r="L52" s="30"/>
      <c r="M52" s="30"/>
      <c r="N52" s="30"/>
      <c r="O52" s="30"/>
      <c r="P52" s="30"/>
      <c r="Q52" s="30"/>
      <c r="R52" s="30"/>
      <c r="S52" s="30"/>
      <c r="T52" s="30"/>
      <c r="U52" s="30"/>
      <c r="V52" s="38" t="s">
        <v>40</v>
      </c>
      <c r="W52" s="38" t="s">
        <v>253</v>
      </c>
      <c r="X52" s="30" t="s">
        <v>269</v>
      </c>
      <c r="Y52" s="30"/>
    </row>
    <row r="53" ht="42.0" customHeight="1" outlineLevel="1">
      <c r="A53" s="38" t="s">
        <v>270</v>
      </c>
      <c r="B53" s="30" t="s">
        <v>158</v>
      </c>
      <c r="C53" s="30" t="s">
        <v>271</v>
      </c>
      <c r="D53" s="30" t="s">
        <v>146</v>
      </c>
      <c r="E53" s="38" t="s">
        <v>37</v>
      </c>
      <c r="F53" s="38" t="s">
        <v>137</v>
      </c>
      <c r="G53" s="39">
        <v>46317.0</v>
      </c>
      <c r="H53" s="39">
        <v>46332.0</v>
      </c>
      <c r="I53" s="38">
        <v>12.0</v>
      </c>
      <c r="J53" s="30"/>
      <c r="K53" s="30"/>
      <c r="L53" s="30"/>
      <c r="M53" s="30"/>
      <c r="N53" s="30"/>
      <c r="O53" s="30"/>
      <c r="P53" s="30"/>
      <c r="Q53" s="30"/>
      <c r="R53" s="30"/>
      <c r="S53" s="30"/>
      <c r="T53" s="30"/>
      <c r="U53" s="30"/>
      <c r="V53" s="38" t="s">
        <v>40</v>
      </c>
      <c r="W53" s="38" t="s">
        <v>253</v>
      </c>
      <c r="X53" s="30" t="s">
        <v>272</v>
      </c>
      <c r="Y53" s="30"/>
    </row>
    <row r="54" ht="28.5" customHeight="1" outlineLevel="1">
      <c r="A54" s="38" t="s">
        <v>273</v>
      </c>
      <c r="B54" s="30" t="s">
        <v>158</v>
      </c>
      <c r="C54" s="30" t="s">
        <v>274</v>
      </c>
      <c r="D54" s="30" t="s">
        <v>146</v>
      </c>
      <c r="E54" s="38" t="s">
        <v>37</v>
      </c>
      <c r="F54" s="38" t="s">
        <v>137</v>
      </c>
      <c r="G54" s="39">
        <v>46317.0</v>
      </c>
      <c r="H54" s="39">
        <v>46332.0</v>
      </c>
      <c r="I54" s="38">
        <v>12.0</v>
      </c>
      <c r="J54" s="30"/>
      <c r="K54" s="30"/>
      <c r="L54" s="30"/>
      <c r="M54" s="30"/>
      <c r="N54" s="30"/>
      <c r="O54" s="30"/>
      <c r="P54" s="30"/>
      <c r="Q54" s="30"/>
      <c r="R54" s="30"/>
      <c r="S54" s="30"/>
      <c r="T54" s="30"/>
      <c r="U54" s="30"/>
      <c r="V54" s="38" t="s">
        <v>40</v>
      </c>
      <c r="W54" s="38" t="s">
        <v>253</v>
      </c>
      <c r="X54" s="30" t="s">
        <v>275</v>
      </c>
      <c r="Y54" s="30"/>
    </row>
    <row r="55" ht="28.5" customHeight="1" outlineLevel="1">
      <c r="A55" s="38" t="s">
        <v>276</v>
      </c>
      <c r="B55" s="30" t="s">
        <v>158</v>
      </c>
      <c r="C55" s="30" t="s">
        <v>277</v>
      </c>
      <c r="D55" s="30" t="s">
        <v>146</v>
      </c>
      <c r="E55" s="38" t="s">
        <v>37</v>
      </c>
      <c r="F55" s="38" t="s">
        <v>137</v>
      </c>
      <c r="G55" s="39">
        <v>46317.0</v>
      </c>
      <c r="H55" s="39">
        <v>46332.0</v>
      </c>
      <c r="I55" s="38">
        <v>12.0</v>
      </c>
      <c r="J55" s="30"/>
      <c r="K55" s="30"/>
      <c r="L55" s="30"/>
      <c r="M55" s="30"/>
      <c r="N55" s="30"/>
      <c r="O55" s="30"/>
      <c r="P55" s="30"/>
      <c r="Q55" s="30"/>
      <c r="R55" s="30"/>
      <c r="S55" s="30"/>
      <c r="T55" s="30"/>
      <c r="U55" s="30"/>
      <c r="V55" s="38" t="s">
        <v>40</v>
      </c>
      <c r="W55" s="38" t="s">
        <v>253</v>
      </c>
      <c r="X55" s="30" t="s">
        <v>282</v>
      </c>
      <c r="Y55" s="30"/>
    </row>
    <row r="56" ht="28.5" customHeight="1" outlineLevel="1">
      <c r="A56" s="38" t="s">
        <v>283</v>
      </c>
      <c r="B56" s="30" t="s">
        <v>158</v>
      </c>
      <c r="C56" s="30" t="s">
        <v>284</v>
      </c>
      <c r="D56" s="30" t="s">
        <v>146</v>
      </c>
      <c r="E56" s="38" t="s">
        <v>55</v>
      </c>
      <c r="F56" s="38" t="s">
        <v>32</v>
      </c>
      <c r="G56" s="39">
        <v>46314.0</v>
      </c>
      <c r="H56" s="39">
        <v>46325.0</v>
      </c>
      <c r="I56" s="38">
        <v>9.0</v>
      </c>
      <c r="J56" s="30"/>
      <c r="K56" s="30"/>
      <c r="L56" s="30"/>
      <c r="M56" s="30"/>
      <c r="N56" s="30"/>
      <c r="O56" s="30"/>
      <c r="P56" s="30"/>
      <c r="Q56" s="30"/>
      <c r="R56" s="30"/>
      <c r="S56" s="30"/>
      <c r="T56" s="30"/>
      <c r="U56" s="30"/>
      <c r="V56" s="38" t="s">
        <v>40</v>
      </c>
      <c r="W56" s="38" t="s">
        <v>157</v>
      </c>
      <c r="X56" s="30" t="s">
        <v>286</v>
      </c>
      <c r="Y56" s="30" t="s">
        <v>288</v>
      </c>
    </row>
    <row r="57" ht="42.0" customHeight="1" outlineLevel="1">
      <c r="A57" s="38" t="s">
        <v>62</v>
      </c>
      <c r="B57" s="30" t="s">
        <v>158</v>
      </c>
      <c r="C57" s="30" t="s">
        <v>289</v>
      </c>
      <c r="D57" s="30" t="s">
        <v>146</v>
      </c>
      <c r="E57" s="38" t="s">
        <v>45</v>
      </c>
      <c r="F57" s="38" t="s">
        <v>32</v>
      </c>
      <c r="G57" s="39">
        <v>46328.0</v>
      </c>
      <c r="H57" s="39">
        <v>46332.0</v>
      </c>
      <c r="I57" s="38">
        <v>5.0</v>
      </c>
      <c r="J57" s="30"/>
      <c r="K57" s="30"/>
      <c r="L57" s="30"/>
      <c r="M57" s="30"/>
      <c r="N57" s="30"/>
      <c r="O57" s="30"/>
      <c r="P57" s="30"/>
      <c r="Q57" s="30"/>
      <c r="R57" s="30"/>
      <c r="S57" s="30"/>
      <c r="T57" s="30"/>
      <c r="U57" s="30"/>
      <c r="V57" s="38" t="s">
        <v>40</v>
      </c>
      <c r="W57" s="38" t="s">
        <v>290</v>
      </c>
      <c r="X57" s="30"/>
      <c r="Y57" s="30" t="s">
        <v>291</v>
      </c>
    </row>
    <row r="58" ht="42.0" customHeight="1" outlineLevel="1">
      <c r="A58" s="38" t="s">
        <v>292</v>
      </c>
      <c r="B58" s="30" t="s">
        <v>158</v>
      </c>
      <c r="C58" s="30" t="s">
        <v>293</v>
      </c>
      <c r="D58" s="30" t="s">
        <v>146</v>
      </c>
      <c r="E58" s="38" t="s">
        <v>37</v>
      </c>
      <c r="F58" s="38" t="s">
        <v>137</v>
      </c>
      <c r="G58" s="39">
        <v>46317.0</v>
      </c>
      <c r="H58" s="39">
        <v>46332.0</v>
      </c>
      <c r="I58" s="38">
        <v>12.0</v>
      </c>
      <c r="J58" s="30"/>
      <c r="K58" s="30"/>
      <c r="L58" s="30"/>
      <c r="M58" s="30"/>
      <c r="N58" s="30"/>
      <c r="O58" s="30"/>
      <c r="P58" s="30"/>
      <c r="Q58" s="30"/>
      <c r="R58" s="30"/>
      <c r="S58" s="30"/>
      <c r="T58" s="30"/>
      <c r="U58" s="30"/>
      <c r="V58" s="38" t="s">
        <v>40</v>
      </c>
      <c r="W58" s="38" t="s">
        <v>253</v>
      </c>
      <c r="X58" s="30" t="s">
        <v>294</v>
      </c>
      <c r="Y58" s="30"/>
    </row>
    <row r="59" ht="19.5" customHeight="1">
      <c r="A59" s="15" t="s">
        <v>297</v>
      </c>
      <c r="B59" s="15" t="s">
        <v>298</v>
      </c>
      <c r="C59" s="15"/>
      <c r="D59" s="15"/>
      <c r="E59" s="15"/>
      <c r="F59" s="15"/>
      <c r="G59" s="36">
        <v>46307.0</v>
      </c>
      <c r="H59" s="36">
        <v>46343.0</v>
      </c>
      <c r="I59" s="37">
        <v>24.0</v>
      </c>
      <c r="J59" s="15"/>
      <c r="K59" s="15"/>
      <c r="L59" s="15"/>
      <c r="M59" s="15"/>
      <c r="N59" s="15"/>
      <c r="O59" s="15"/>
      <c r="P59" s="15"/>
      <c r="Q59" s="15"/>
      <c r="R59" s="15"/>
      <c r="S59" s="15"/>
      <c r="T59" s="15"/>
      <c r="U59" s="15"/>
      <c r="V59" s="15"/>
      <c r="W59" s="15"/>
      <c r="X59" s="15"/>
      <c r="Y59" s="15"/>
    </row>
    <row r="60" ht="42.0" customHeight="1" outlineLevel="1">
      <c r="A60" s="38" t="s">
        <v>303</v>
      </c>
      <c r="B60" s="30" t="s">
        <v>70</v>
      </c>
      <c r="C60" s="30" t="s">
        <v>304</v>
      </c>
      <c r="D60" s="30" t="s">
        <v>305</v>
      </c>
      <c r="E60" s="38" t="s">
        <v>55</v>
      </c>
      <c r="F60" s="38" t="s">
        <v>32</v>
      </c>
      <c r="G60" s="39">
        <v>46308.0</v>
      </c>
      <c r="H60" s="39">
        <v>46314.0</v>
      </c>
      <c r="I60" s="38">
        <v>5.0</v>
      </c>
      <c r="J60" s="30"/>
      <c r="K60" s="30"/>
      <c r="L60" s="30"/>
      <c r="M60" s="30"/>
      <c r="N60" s="30"/>
      <c r="O60" s="30"/>
      <c r="P60" s="30"/>
      <c r="Q60" s="30"/>
      <c r="R60" s="30"/>
      <c r="S60" s="30"/>
      <c r="T60" s="30"/>
      <c r="U60" s="30"/>
      <c r="V60" s="38" t="s">
        <v>40</v>
      </c>
      <c r="W60" s="38" t="s">
        <v>151</v>
      </c>
      <c r="X60" s="30" t="s">
        <v>309</v>
      </c>
      <c r="Y60" s="30" t="s">
        <v>310</v>
      </c>
    </row>
    <row r="61" ht="42.0" customHeight="1" outlineLevel="1">
      <c r="A61" s="38" t="s">
        <v>311</v>
      </c>
      <c r="B61" s="30" t="s">
        <v>70</v>
      </c>
      <c r="C61" s="30" t="s">
        <v>312</v>
      </c>
      <c r="D61" s="30" t="s">
        <v>305</v>
      </c>
      <c r="E61" s="38" t="s">
        <v>37</v>
      </c>
      <c r="F61" s="38" t="s">
        <v>32</v>
      </c>
      <c r="G61" s="39">
        <v>46307.0</v>
      </c>
      <c r="H61" s="39">
        <v>46311.0</v>
      </c>
      <c r="I61" s="38">
        <v>5.0</v>
      </c>
      <c r="J61" s="30"/>
      <c r="K61" s="30"/>
      <c r="L61" s="30"/>
      <c r="M61" s="30"/>
      <c r="N61" s="30"/>
      <c r="O61" s="30"/>
      <c r="P61" s="30"/>
      <c r="Q61" s="30"/>
      <c r="R61" s="30"/>
      <c r="S61" s="30"/>
      <c r="T61" s="30"/>
      <c r="U61" s="30"/>
      <c r="V61" s="38" t="s">
        <v>40</v>
      </c>
      <c r="W61" s="38" t="s">
        <v>47</v>
      </c>
      <c r="X61" s="30" t="s">
        <v>316</v>
      </c>
      <c r="Y61" s="30"/>
    </row>
    <row r="62" ht="28.5" customHeight="1" outlineLevel="1">
      <c r="A62" s="38" t="s">
        <v>319</v>
      </c>
      <c r="B62" s="30" t="s">
        <v>70</v>
      </c>
      <c r="C62" s="30" t="s">
        <v>320</v>
      </c>
      <c r="D62" s="30" t="s">
        <v>321</v>
      </c>
      <c r="E62" s="38" t="s">
        <v>70</v>
      </c>
      <c r="F62" s="38" t="s">
        <v>32</v>
      </c>
      <c r="G62" s="39">
        <v>46307.0</v>
      </c>
      <c r="H62" s="39">
        <v>46309.0</v>
      </c>
      <c r="I62" s="38">
        <v>3.0</v>
      </c>
      <c r="J62" s="30"/>
      <c r="K62" s="30"/>
      <c r="L62" s="30"/>
      <c r="M62" s="30"/>
      <c r="N62" s="30"/>
      <c r="O62" s="30"/>
      <c r="P62" s="30"/>
      <c r="Q62" s="30"/>
      <c r="R62" s="30"/>
      <c r="S62" s="30"/>
      <c r="T62" s="30"/>
      <c r="U62" s="30"/>
      <c r="V62" s="38" t="s">
        <v>40</v>
      </c>
      <c r="W62" s="38" t="s">
        <v>311</v>
      </c>
      <c r="X62" s="30" t="s">
        <v>325</v>
      </c>
      <c r="Y62" s="30" t="s">
        <v>326</v>
      </c>
    </row>
    <row r="63" ht="28.5" customHeight="1" outlineLevel="1">
      <c r="A63" s="38" t="s">
        <v>327</v>
      </c>
      <c r="B63" s="30" t="s">
        <v>70</v>
      </c>
      <c r="C63" s="30" t="s">
        <v>328</v>
      </c>
      <c r="D63" s="30" t="s">
        <v>321</v>
      </c>
      <c r="E63" s="38" t="s">
        <v>37</v>
      </c>
      <c r="F63" s="38" t="s">
        <v>32</v>
      </c>
      <c r="G63" s="39">
        <v>46307.0</v>
      </c>
      <c r="H63" s="39">
        <v>46318.0</v>
      </c>
      <c r="I63" s="38">
        <v>9.0</v>
      </c>
      <c r="J63" s="30"/>
      <c r="K63" s="30"/>
      <c r="L63" s="30"/>
      <c r="M63" s="30"/>
      <c r="N63" s="30"/>
      <c r="O63" s="30"/>
      <c r="P63" s="30"/>
      <c r="Q63" s="30"/>
      <c r="R63" s="30"/>
      <c r="S63" s="30"/>
      <c r="T63" s="30"/>
      <c r="U63" s="30"/>
      <c r="V63" s="38" t="s">
        <v>40</v>
      </c>
      <c r="W63" s="38" t="s">
        <v>319</v>
      </c>
      <c r="X63" s="30"/>
      <c r="Y63" s="30"/>
    </row>
    <row r="64" ht="28.5" customHeight="1" outlineLevel="1">
      <c r="A64" s="38" t="s">
        <v>329</v>
      </c>
      <c r="B64" s="30" t="s">
        <v>70</v>
      </c>
      <c r="C64" s="30" t="s">
        <v>330</v>
      </c>
      <c r="D64" s="30" t="s">
        <v>321</v>
      </c>
      <c r="E64" s="38" t="s">
        <v>37</v>
      </c>
      <c r="F64" s="38" t="s">
        <v>32</v>
      </c>
      <c r="G64" s="39">
        <v>46321.0</v>
      </c>
      <c r="H64" s="39">
        <v>46323.0</v>
      </c>
      <c r="I64" s="38">
        <v>3.0</v>
      </c>
      <c r="J64" s="30"/>
      <c r="K64" s="30"/>
      <c r="L64" s="30"/>
      <c r="M64" s="30"/>
      <c r="N64" s="30"/>
      <c r="O64" s="30"/>
      <c r="P64" s="30"/>
      <c r="Q64" s="30"/>
      <c r="R64" s="30"/>
      <c r="S64" s="30"/>
      <c r="T64" s="30"/>
      <c r="U64" s="30"/>
      <c r="V64" s="38" t="s">
        <v>40</v>
      </c>
      <c r="W64" s="38" t="s">
        <v>327</v>
      </c>
      <c r="X64" s="30"/>
      <c r="Y64" s="30" t="s">
        <v>337</v>
      </c>
    </row>
    <row r="65" ht="28.5" customHeight="1" outlineLevel="1">
      <c r="A65" s="38" t="s">
        <v>79</v>
      </c>
      <c r="B65" s="30" t="s">
        <v>70</v>
      </c>
      <c r="C65" s="30" t="s">
        <v>338</v>
      </c>
      <c r="D65" s="30" t="s">
        <v>321</v>
      </c>
      <c r="E65" s="38" t="s">
        <v>45</v>
      </c>
      <c r="F65" s="38" t="s">
        <v>32</v>
      </c>
      <c r="G65" s="39">
        <v>46324.0</v>
      </c>
      <c r="H65" s="39">
        <v>46339.0</v>
      </c>
      <c r="I65" s="38">
        <v>10.0</v>
      </c>
      <c r="J65" s="30"/>
      <c r="K65" s="30"/>
      <c r="L65" s="30"/>
      <c r="M65" s="30"/>
      <c r="N65" s="30"/>
      <c r="O65" s="30"/>
      <c r="P65" s="30"/>
      <c r="Q65" s="30"/>
      <c r="R65" s="30"/>
      <c r="S65" s="30"/>
      <c r="T65" s="30"/>
      <c r="U65" s="30"/>
      <c r="V65" s="38" t="s">
        <v>40</v>
      </c>
      <c r="W65" s="38" t="s">
        <v>329</v>
      </c>
      <c r="X65" s="30" t="s">
        <v>341</v>
      </c>
      <c r="Y65" s="30" t="s">
        <v>342</v>
      </c>
    </row>
    <row r="66" ht="28.5" customHeight="1" outlineLevel="1">
      <c r="A66" s="38" t="s">
        <v>343</v>
      </c>
      <c r="B66" s="30" t="s">
        <v>70</v>
      </c>
      <c r="C66" s="30" t="s">
        <v>344</v>
      </c>
      <c r="D66" s="30" t="s">
        <v>345</v>
      </c>
      <c r="E66" s="38" t="s">
        <v>70</v>
      </c>
      <c r="F66" s="38" t="s">
        <v>32</v>
      </c>
      <c r="G66" s="39">
        <v>46307.0</v>
      </c>
      <c r="H66" s="39">
        <v>46311.0</v>
      </c>
      <c r="I66" s="38">
        <v>5.0</v>
      </c>
      <c r="J66" s="30"/>
      <c r="K66" s="30"/>
      <c r="L66" s="30"/>
      <c r="M66" s="30"/>
      <c r="N66" s="30"/>
      <c r="O66" s="30"/>
      <c r="P66" s="30"/>
      <c r="Q66" s="30"/>
      <c r="R66" s="30"/>
      <c r="S66" s="30"/>
      <c r="T66" s="30"/>
      <c r="U66" s="30"/>
      <c r="V66" s="38" t="s">
        <v>40</v>
      </c>
      <c r="W66" s="38" t="s">
        <v>311</v>
      </c>
      <c r="X66" s="30" t="s">
        <v>346</v>
      </c>
      <c r="Y66" s="30" t="s">
        <v>347</v>
      </c>
    </row>
    <row r="67" ht="42.0" customHeight="1" outlineLevel="1">
      <c r="A67" s="38" t="s">
        <v>348</v>
      </c>
      <c r="B67" s="30" t="s">
        <v>70</v>
      </c>
      <c r="C67" s="30" t="s">
        <v>349</v>
      </c>
      <c r="D67" s="30" t="s">
        <v>345</v>
      </c>
      <c r="E67" s="38" t="s">
        <v>37</v>
      </c>
      <c r="F67" s="38" t="s">
        <v>32</v>
      </c>
      <c r="G67" s="39">
        <v>46316.0</v>
      </c>
      <c r="H67" s="39">
        <v>46317.0</v>
      </c>
      <c r="I67" s="38">
        <v>2.0</v>
      </c>
      <c r="J67" s="30"/>
      <c r="K67" s="30"/>
      <c r="L67" s="30"/>
      <c r="M67" s="30"/>
      <c r="N67" s="30"/>
      <c r="O67" s="30"/>
      <c r="P67" s="30"/>
      <c r="Q67" s="30"/>
      <c r="R67" s="30"/>
      <c r="S67" s="30"/>
      <c r="T67" s="30"/>
      <c r="U67" s="30"/>
      <c r="V67" s="38" t="s">
        <v>40</v>
      </c>
      <c r="W67" s="38" t="s">
        <v>303</v>
      </c>
      <c r="X67" s="30" t="s">
        <v>350</v>
      </c>
      <c r="Y67" s="30"/>
    </row>
    <row r="68" ht="28.5" customHeight="1" outlineLevel="1">
      <c r="A68" s="38" t="s">
        <v>351</v>
      </c>
      <c r="B68" s="30" t="s">
        <v>70</v>
      </c>
      <c r="C68" s="30" t="s">
        <v>352</v>
      </c>
      <c r="D68" s="30" t="s">
        <v>345</v>
      </c>
      <c r="E68" s="38" t="s">
        <v>45</v>
      </c>
      <c r="F68" s="38" t="s">
        <v>32</v>
      </c>
      <c r="G68" s="39">
        <v>46318.0</v>
      </c>
      <c r="H68" s="39">
        <v>46325.0</v>
      </c>
      <c r="I68" s="38">
        <v>6.0</v>
      </c>
      <c r="J68" s="30"/>
      <c r="K68" s="30"/>
      <c r="L68" s="30"/>
      <c r="M68" s="30"/>
      <c r="N68" s="30"/>
      <c r="O68" s="30"/>
      <c r="P68" s="30"/>
      <c r="Q68" s="30"/>
      <c r="R68" s="30"/>
      <c r="S68" s="30"/>
      <c r="T68" s="30"/>
      <c r="U68" s="30"/>
      <c r="V68" s="38" t="s">
        <v>40</v>
      </c>
      <c r="W68" s="38" t="s">
        <v>348</v>
      </c>
      <c r="X68" s="30" t="s">
        <v>354</v>
      </c>
      <c r="Y68" s="30" t="s">
        <v>342</v>
      </c>
    </row>
    <row r="69" ht="28.5" customHeight="1" outlineLevel="1">
      <c r="A69" s="38" t="s">
        <v>355</v>
      </c>
      <c r="B69" s="30" t="s">
        <v>70</v>
      </c>
      <c r="C69" s="30" t="s">
        <v>358</v>
      </c>
      <c r="D69" s="30" t="s">
        <v>360</v>
      </c>
      <c r="E69" s="38" t="s">
        <v>70</v>
      </c>
      <c r="F69" s="38" t="s">
        <v>32</v>
      </c>
      <c r="G69" s="39">
        <v>46307.0</v>
      </c>
      <c r="H69" s="39">
        <v>46311.0</v>
      </c>
      <c r="I69" s="38">
        <v>5.0</v>
      </c>
      <c r="J69" s="30"/>
      <c r="K69" s="30"/>
      <c r="L69" s="30"/>
      <c r="M69" s="30"/>
      <c r="N69" s="30"/>
      <c r="O69" s="30"/>
      <c r="P69" s="30"/>
      <c r="Q69" s="30"/>
      <c r="R69" s="30"/>
      <c r="S69" s="30"/>
      <c r="T69" s="30"/>
      <c r="U69" s="30"/>
      <c r="V69" s="38" t="s">
        <v>40</v>
      </c>
      <c r="W69" s="38" t="s">
        <v>311</v>
      </c>
      <c r="X69" s="30" t="s">
        <v>362</v>
      </c>
      <c r="Y69" s="30" t="s">
        <v>364</v>
      </c>
    </row>
    <row r="70" ht="28.5" customHeight="1" outlineLevel="1">
      <c r="A70" s="38" t="s">
        <v>365</v>
      </c>
      <c r="B70" s="30" t="s">
        <v>70</v>
      </c>
      <c r="C70" s="30" t="s">
        <v>367</v>
      </c>
      <c r="D70" s="30" t="s">
        <v>360</v>
      </c>
      <c r="E70" s="38" t="s">
        <v>37</v>
      </c>
      <c r="F70" s="38" t="s">
        <v>32</v>
      </c>
      <c r="G70" s="39">
        <v>46317.0</v>
      </c>
      <c r="H70" s="39">
        <v>46318.0</v>
      </c>
      <c r="I70" s="38">
        <v>2.0</v>
      </c>
      <c r="J70" s="30"/>
      <c r="K70" s="30"/>
      <c r="L70" s="30"/>
      <c r="M70" s="30"/>
      <c r="N70" s="30"/>
      <c r="O70" s="30"/>
      <c r="P70" s="30"/>
      <c r="Q70" s="30"/>
      <c r="R70" s="30"/>
      <c r="S70" s="30"/>
      <c r="T70" s="30"/>
      <c r="U70" s="30"/>
      <c r="V70" s="38" t="s">
        <v>40</v>
      </c>
      <c r="W70" s="38" t="s">
        <v>368</v>
      </c>
      <c r="X70" s="30" t="s">
        <v>350</v>
      </c>
      <c r="Y70" s="30"/>
    </row>
    <row r="71" ht="28.5" customHeight="1" outlineLevel="1">
      <c r="A71" s="38" t="s">
        <v>369</v>
      </c>
      <c r="B71" s="30" t="s">
        <v>70</v>
      </c>
      <c r="C71" s="30" t="s">
        <v>370</v>
      </c>
      <c r="D71" s="30" t="s">
        <v>360</v>
      </c>
      <c r="E71" s="38" t="s">
        <v>45</v>
      </c>
      <c r="F71" s="38" t="s">
        <v>32</v>
      </c>
      <c r="G71" s="39">
        <v>46321.0</v>
      </c>
      <c r="H71" s="39">
        <v>46328.0</v>
      </c>
      <c r="I71" s="38">
        <v>6.0</v>
      </c>
      <c r="J71" s="30"/>
      <c r="K71" s="30"/>
      <c r="L71" s="30"/>
      <c r="M71" s="30"/>
      <c r="N71" s="30"/>
      <c r="O71" s="30"/>
      <c r="P71" s="30"/>
      <c r="Q71" s="30"/>
      <c r="R71" s="30"/>
      <c r="S71" s="30"/>
      <c r="T71" s="30"/>
      <c r="U71" s="30"/>
      <c r="V71" s="38" t="s">
        <v>40</v>
      </c>
      <c r="W71" s="38" t="s">
        <v>365</v>
      </c>
      <c r="X71" s="30" t="s">
        <v>373</v>
      </c>
      <c r="Y71" s="30" t="s">
        <v>342</v>
      </c>
    </row>
    <row r="72" ht="42.0" customHeight="1" outlineLevel="1">
      <c r="A72" s="38" t="s">
        <v>376</v>
      </c>
      <c r="B72" s="30" t="s">
        <v>70</v>
      </c>
      <c r="C72" s="30" t="s">
        <v>378</v>
      </c>
      <c r="D72" s="30" t="s">
        <v>380</v>
      </c>
      <c r="E72" s="38" t="s">
        <v>70</v>
      </c>
      <c r="F72" s="38" t="s">
        <v>32</v>
      </c>
      <c r="G72" s="39">
        <v>46307.0</v>
      </c>
      <c r="H72" s="39">
        <v>46311.0</v>
      </c>
      <c r="I72" s="38">
        <v>5.0</v>
      </c>
      <c r="J72" s="30"/>
      <c r="K72" s="30"/>
      <c r="L72" s="30"/>
      <c r="M72" s="30"/>
      <c r="N72" s="30"/>
      <c r="O72" s="30"/>
      <c r="P72" s="30"/>
      <c r="Q72" s="30"/>
      <c r="R72" s="30"/>
      <c r="S72" s="30"/>
      <c r="T72" s="30"/>
      <c r="U72" s="30"/>
      <c r="V72" s="38" t="s">
        <v>40</v>
      </c>
      <c r="W72" s="38" t="s">
        <v>311</v>
      </c>
      <c r="X72" s="30" t="s">
        <v>384</v>
      </c>
      <c r="Y72" s="30" t="s">
        <v>385</v>
      </c>
    </row>
    <row r="73" ht="42.0" customHeight="1" outlineLevel="1">
      <c r="A73" s="38" t="s">
        <v>386</v>
      </c>
      <c r="B73" s="30" t="s">
        <v>70</v>
      </c>
      <c r="C73" s="30" t="s">
        <v>387</v>
      </c>
      <c r="D73" s="30" t="s">
        <v>380</v>
      </c>
      <c r="E73" s="38" t="s">
        <v>37</v>
      </c>
      <c r="F73" s="38" t="s">
        <v>32</v>
      </c>
      <c r="G73" s="39">
        <v>46316.0</v>
      </c>
      <c r="H73" s="39">
        <v>46322.0</v>
      </c>
      <c r="I73" s="38">
        <v>5.0</v>
      </c>
      <c r="J73" s="30"/>
      <c r="K73" s="30"/>
      <c r="L73" s="30"/>
      <c r="M73" s="30"/>
      <c r="N73" s="30"/>
      <c r="O73" s="30"/>
      <c r="P73" s="30"/>
      <c r="Q73" s="30"/>
      <c r="R73" s="30"/>
      <c r="S73" s="30"/>
      <c r="T73" s="30"/>
      <c r="U73" s="30"/>
      <c r="V73" s="38" t="s">
        <v>40</v>
      </c>
      <c r="W73" s="38" t="s">
        <v>303</v>
      </c>
      <c r="X73" s="30" t="s">
        <v>350</v>
      </c>
      <c r="Y73" s="30"/>
    </row>
    <row r="74" ht="28.5" customHeight="1" outlineLevel="1">
      <c r="A74" s="38" t="s">
        <v>388</v>
      </c>
      <c r="B74" s="30" t="s">
        <v>70</v>
      </c>
      <c r="C74" s="30" t="s">
        <v>389</v>
      </c>
      <c r="D74" s="30" t="s">
        <v>380</v>
      </c>
      <c r="E74" s="38" t="s">
        <v>45</v>
      </c>
      <c r="F74" s="38" t="s">
        <v>32</v>
      </c>
      <c r="G74" s="39">
        <v>46323.0</v>
      </c>
      <c r="H74" s="39">
        <v>46330.0</v>
      </c>
      <c r="I74" s="38">
        <v>6.0</v>
      </c>
      <c r="J74" s="30"/>
      <c r="K74" s="30"/>
      <c r="L74" s="30"/>
      <c r="M74" s="30"/>
      <c r="N74" s="30"/>
      <c r="O74" s="30"/>
      <c r="P74" s="30"/>
      <c r="Q74" s="30"/>
      <c r="R74" s="30"/>
      <c r="S74" s="30"/>
      <c r="T74" s="30"/>
      <c r="U74" s="30"/>
      <c r="V74" s="38" t="s">
        <v>40</v>
      </c>
      <c r="W74" s="38" t="s">
        <v>386</v>
      </c>
      <c r="X74" s="30" t="s">
        <v>394</v>
      </c>
      <c r="Y74" s="30" t="s">
        <v>342</v>
      </c>
    </row>
    <row r="75" ht="28.5" customHeight="1" outlineLevel="1">
      <c r="A75" s="38" t="s">
        <v>395</v>
      </c>
      <c r="B75" s="30" t="s">
        <v>70</v>
      </c>
      <c r="C75" s="30" t="s">
        <v>396</v>
      </c>
      <c r="D75" s="30" t="s">
        <v>397</v>
      </c>
      <c r="E75" s="38" t="s">
        <v>70</v>
      </c>
      <c r="F75" s="38" t="s">
        <v>32</v>
      </c>
      <c r="G75" s="39">
        <v>46307.0</v>
      </c>
      <c r="H75" s="39">
        <v>46311.0</v>
      </c>
      <c r="I75" s="38">
        <v>5.0</v>
      </c>
      <c r="J75" s="30"/>
      <c r="K75" s="30"/>
      <c r="L75" s="30"/>
      <c r="M75" s="30"/>
      <c r="N75" s="30"/>
      <c r="O75" s="30"/>
      <c r="P75" s="30"/>
      <c r="Q75" s="30"/>
      <c r="R75" s="30"/>
      <c r="S75" s="30"/>
      <c r="T75" s="30"/>
      <c r="U75" s="30"/>
      <c r="V75" s="38" t="s">
        <v>40</v>
      </c>
      <c r="W75" s="38" t="s">
        <v>311</v>
      </c>
      <c r="X75" s="30" t="s">
        <v>401</v>
      </c>
      <c r="Y75" s="30" t="s">
        <v>402</v>
      </c>
    </row>
    <row r="76" ht="42.0" customHeight="1" outlineLevel="1">
      <c r="A76" s="38" t="s">
        <v>403</v>
      </c>
      <c r="B76" s="30" t="s">
        <v>70</v>
      </c>
      <c r="C76" s="30" t="s">
        <v>404</v>
      </c>
      <c r="D76" s="30" t="s">
        <v>397</v>
      </c>
      <c r="E76" s="38" t="s">
        <v>37</v>
      </c>
      <c r="F76" s="38" t="s">
        <v>32</v>
      </c>
      <c r="G76" s="39">
        <v>46316.0</v>
      </c>
      <c r="H76" s="39">
        <v>46328.0</v>
      </c>
      <c r="I76" s="38">
        <v>9.0</v>
      </c>
      <c r="J76" s="30"/>
      <c r="K76" s="30"/>
      <c r="L76" s="30"/>
      <c r="M76" s="30"/>
      <c r="N76" s="30"/>
      <c r="O76" s="30"/>
      <c r="P76" s="30"/>
      <c r="Q76" s="30"/>
      <c r="R76" s="30"/>
      <c r="S76" s="30"/>
      <c r="T76" s="30"/>
      <c r="U76" s="30"/>
      <c r="V76" s="38" t="s">
        <v>40</v>
      </c>
      <c r="W76" s="38" t="s">
        <v>303</v>
      </c>
      <c r="X76" s="30" t="s">
        <v>350</v>
      </c>
      <c r="Y76" s="30"/>
    </row>
    <row r="77" ht="28.5" customHeight="1" outlineLevel="1">
      <c r="A77" s="38" t="s">
        <v>405</v>
      </c>
      <c r="B77" s="30" t="s">
        <v>70</v>
      </c>
      <c r="C77" s="30" t="s">
        <v>406</v>
      </c>
      <c r="D77" s="30" t="s">
        <v>397</v>
      </c>
      <c r="E77" s="38" t="s">
        <v>45</v>
      </c>
      <c r="F77" s="38" t="s">
        <v>32</v>
      </c>
      <c r="G77" s="39">
        <v>46329.0</v>
      </c>
      <c r="H77" s="39">
        <v>46339.0</v>
      </c>
      <c r="I77" s="38">
        <v>7.0</v>
      </c>
      <c r="J77" s="30"/>
      <c r="K77" s="30"/>
      <c r="L77" s="30"/>
      <c r="M77" s="30"/>
      <c r="N77" s="30"/>
      <c r="O77" s="30"/>
      <c r="P77" s="30"/>
      <c r="Q77" s="30"/>
      <c r="R77" s="30"/>
      <c r="S77" s="30"/>
      <c r="T77" s="30"/>
      <c r="U77" s="30"/>
      <c r="V77" s="38" t="s">
        <v>40</v>
      </c>
      <c r="W77" s="38" t="s">
        <v>403</v>
      </c>
      <c r="X77" s="30" t="s">
        <v>412</v>
      </c>
      <c r="Y77" s="30" t="s">
        <v>342</v>
      </c>
    </row>
    <row r="78" ht="42.0" customHeight="1" outlineLevel="1">
      <c r="A78" s="38" t="s">
        <v>413</v>
      </c>
      <c r="B78" s="30" t="s">
        <v>70</v>
      </c>
      <c r="C78" s="30" t="s">
        <v>416</v>
      </c>
      <c r="D78" s="30" t="s">
        <v>417</v>
      </c>
      <c r="E78" s="38" t="s">
        <v>70</v>
      </c>
      <c r="F78" s="38" t="s">
        <v>32</v>
      </c>
      <c r="G78" s="39">
        <v>46307.0</v>
      </c>
      <c r="H78" s="39">
        <v>46311.0</v>
      </c>
      <c r="I78" s="38">
        <v>5.0</v>
      </c>
      <c r="J78" s="30"/>
      <c r="K78" s="30"/>
      <c r="L78" s="30"/>
      <c r="M78" s="30"/>
      <c r="N78" s="30"/>
      <c r="O78" s="30"/>
      <c r="P78" s="30"/>
      <c r="Q78" s="30"/>
      <c r="R78" s="30"/>
      <c r="S78" s="30"/>
      <c r="T78" s="30"/>
      <c r="U78" s="30"/>
      <c r="V78" s="38" t="s">
        <v>40</v>
      </c>
      <c r="W78" s="38" t="s">
        <v>311</v>
      </c>
      <c r="X78" s="30" t="s">
        <v>418</v>
      </c>
      <c r="Y78" s="30" t="s">
        <v>420</v>
      </c>
    </row>
    <row r="79" ht="42.0" customHeight="1" outlineLevel="1">
      <c r="A79" s="38" t="s">
        <v>421</v>
      </c>
      <c r="B79" s="30" t="s">
        <v>70</v>
      </c>
      <c r="C79" s="30" t="s">
        <v>424</v>
      </c>
      <c r="D79" s="30" t="s">
        <v>417</v>
      </c>
      <c r="E79" s="38" t="s">
        <v>37</v>
      </c>
      <c r="F79" s="38" t="s">
        <v>32</v>
      </c>
      <c r="G79" s="39">
        <v>46316.0</v>
      </c>
      <c r="H79" s="39">
        <v>46330.0</v>
      </c>
      <c r="I79" s="38">
        <v>11.0</v>
      </c>
      <c r="J79" s="30"/>
      <c r="K79" s="30"/>
      <c r="L79" s="30"/>
      <c r="M79" s="30"/>
      <c r="N79" s="30"/>
      <c r="O79" s="30"/>
      <c r="P79" s="30"/>
      <c r="Q79" s="30"/>
      <c r="R79" s="30"/>
      <c r="S79" s="30"/>
      <c r="T79" s="30"/>
      <c r="U79" s="30"/>
      <c r="V79" s="38" t="s">
        <v>40</v>
      </c>
      <c r="W79" s="38" t="s">
        <v>303</v>
      </c>
      <c r="X79" s="30" t="s">
        <v>350</v>
      </c>
      <c r="Y79" s="30"/>
    </row>
    <row r="80" ht="28.5" customHeight="1" outlineLevel="1">
      <c r="A80" s="38" t="s">
        <v>430</v>
      </c>
      <c r="B80" s="30" t="s">
        <v>70</v>
      </c>
      <c r="C80" s="30" t="s">
        <v>431</v>
      </c>
      <c r="D80" s="30" t="s">
        <v>417</v>
      </c>
      <c r="E80" s="38" t="s">
        <v>45</v>
      </c>
      <c r="F80" s="38" t="s">
        <v>32</v>
      </c>
      <c r="G80" s="39">
        <v>46331.0</v>
      </c>
      <c r="H80" s="39">
        <v>46342.0</v>
      </c>
      <c r="I80" s="38">
        <v>6.0</v>
      </c>
      <c r="J80" s="30"/>
      <c r="K80" s="30"/>
      <c r="L80" s="30"/>
      <c r="M80" s="30"/>
      <c r="N80" s="30"/>
      <c r="O80" s="30"/>
      <c r="P80" s="30"/>
      <c r="Q80" s="30"/>
      <c r="R80" s="30"/>
      <c r="S80" s="30"/>
      <c r="T80" s="30"/>
      <c r="U80" s="30"/>
      <c r="V80" s="38" t="s">
        <v>40</v>
      </c>
      <c r="W80" s="38" t="s">
        <v>421</v>
      </c>
      <c r="X80" s="30" t="s">
        <v>433</v>
      </c>
      <c r="Y80" s="30" t="s">
        <v>342</v>
      </c>
    </row>
    <row r="81" ht="42.0" customHeight="1" outlineLevel="1">
      <c r="A81" s="38" t="s">
        <v>434</v>
      </c>
      <c r="B81" s="30" t="s">
        <v>70</v>
      </c>
      <c r="C81" s="30" t="s">
        <v>435</v>
      </c>
      <c r="D81" s="30" t="s">
        <v>436</v>
      </c>
      <c r="E81" s="38" t="s">
        <v>70</v>
      </c>
      <c r="F81" s="38" t="s">
        <v>32</v>
      </c>
      <c r="G81" s="39">
        <v>46307.0</v>
      </c>
      <c r="H81" s="39">
        <v>46311.0</v>
      </c>
      <c r="I81" s="38">
        <v>5.0</v>
      </c>
      <c r="J81" s="30"/>
      <c r="K81" s="30"/>
      <c r="L81" s="30"/>
      <c r="M81" s="30"/>
      <c r="N81" s="30"/>
      <c r="O81" s="30"/>
      <c r="P81" s="30"/>
      <c r="Q81" s="30"/>
      <c r="R81" s="30"/>
      <c r="S81" s="30"/>
      <c r="T81" s="30"/>
      <c r="U81" s="30"/>
      <c r="V81" s="38" t="s">
        <v>40</v>
      </c>
      <c r="W81" s="38" t="s">
        <v>311</v>
      </c>
      <c r="X81" s="30" t="s">
        <v>437</v>
      </c>
      <c r="Y81" s="30" t="s">
        <v>438</v>
      </c>
    </row>
    <row r="82" ht="42.0" customHeight="1" outlineLevel="1">
      <c r="A82" s="38" t="s">
        <v>439</v>
      </c>
      <c r="B82" s="30" t="s">
        <v>70</v>
      </c>
      <c r="C82" s="30" t="s">
        <v>440</v>
      </c>
      <c r="D82" s="30" t="s">
        <v>436</v>
      </c>
      <c r="E82" s="38" t="s">
        <v>37</v>
      </c>
      <c r="F82" s="38" t="s">
        <v>32</v>
      </c>
      <c r="G82" s="39">
        <v>46316.0</v>
      </c>
      <c r="H82" s="39">
        <v>46330.0</v>
      </c>
      <c r="I82" s="38">
        <v>11.0</v>
      </c>
      <c r="J82" s="30"/>
      <c r="K82" s="30"/>
      <c r="L82" s="30"/>
      <c r="M82" s="30"/>
      <c r="N82" s="30"/>
      <c r="O82" s="30"/>
      <c r="P82" s="30"/>
      <c r="Q82" s="30"/>
      <c r="R82" s="30"/>
      <c r="S82" s="30"/>
      <c r="T82" s="30"/>
      <c r="U82" s="30"/>
      <c r="V82" s="38" t="s">
        <v>40</v>
      </c>
      <c r="W82" s="38" t="s">
        <v>303</v>
      </c>
      <c r="X82" s="30" t="s">
        <v>447</v>
      </c>
      <c r="Y82" s="30"/>
    </row>
    <row r="83" ht="28.5" customHeight="1" outlineLevel="1">
      <c r="A83" s="38" t="s">
        <v>448</v>
      </c>
      <c r="B83" s="30" t="s">
        <v>70</v>
      </c>
      <c r="C83" s="30" t="s">
        <v>449</v>
      </c>
      <c r="D83" s="30" t="s">
        <v>436</v>
      </c>
      <c r="E83" s="38" t="s">
        <v>45</v>
      </c>
      <c r="F83" s="38" t="s">
        <v>32</v>
      </c>
      <c r="G83" s="39">
        <v>46331.0</v>
      </c>
      <c r="H83" s="39">
        <v>46343.0</v>
      </c>
      <c r="I83" s="38">
        <v>7.0</v>
      </c>
      <c r="J83" s="30"/>
      <c r="K83" s="30"/>
      <c r="L83" s="30"/>
      <c r="M83" s="30"/>
      <c r="N83" s="30"/>
      <c r="O83" s="30"/>
      <c r="P83" s="30"/>
      <c r="Q83" s="30"/>
      <c r="R83" s="30"/>
      <c r="S83" s="30"/>
      <c r="T83" s="30"/>
      <c r="U83" s="30"/>
      <c r="V83" s="38" t="s">
        <v>40</v>
      </c>
      <c r="W83" s="38" t="s">
        <v>439</v>
      </c>
      <c r="X83" s="30" t="s">
        <v>452</v>
      </c>
      <c r="Y83" s="30" t="s">
        <v>342</v>
      </c>
    </row>
    <row r="84" ht="28.5" customHeight="1" outlineLevel="1">
      <c r="A84" s="38" t="s">
        <v>453</v>
      </c>
      <c r="B84" s="30" t="s">
        <v>70</v>
      </c>
      <c r="C84" s="30" t="s">
        <v>454</v>
      </c>
      <c r="D84" s="30" t="s">
        <v>455</v>
      </c>
      <c r="E84" s="38" t="s">
        <v>70</v>
      </c>
      <c r="F84" s="38" t="s">
        <v>32</v>
      </c>
      <c r="G84" s="39">
        <v>46307.0</v>
      </c>
      <c r="H84" s="39">
        <v>46311.0</v>
      </c>
      <c r="I84" s="38">
        <v>5.0</v>
      </c>
      <c r="J84" s="30"/>
      <c r="K84" s="30"/>
      <c r="L84" s="30"/>
      <c r="M84" s="30"/>
      <c r="N84" s="30"/>
      <c r="O84" s="30"/>
      <c r="P84" s="30"/>
      <c r="Q84" s="30"/>
      <c r="R84" s="30"/>
      <c r="S84" s="30"/>
      <c r="T84" s="30"/>
      <c r="U84" s="30"/>
      <c r="V84" s="38" t="s">
        <v>40</v>
      </c>
      <c r="W84" s="38" t="s">
        <v>311</v>
      </c>
      <c r="X84" s="30" t="s">
        <v>458</v>
      </c>
      <c r="Y84" s="30" t="s">
        <v>461</v>
      </c>
    </row>
    <row r="85" ht="42.0" customHeight="1" outlineLevel="1">
      <c r="A85" s="38" t="s">
        <v>463</v>
      </c>
      <c r="B85" s="30" t="s">
        <v>70</v>
      </c>
      <c r="C85" s="30" t="s">
        <v>464</v>
      </c>
      <c r="D85" s="30" t="s">
        <v>455</v>
      </c>
      <c r="E85" s="38" t="s">
        <v>37</v>
      </c>
      <c r="F85" s="38" t="s">
        <v>32</v>
      </c>
      <c r="G85" s="39">
        <v>46316.0</v>
      </c>
      <c r="H85" s="39">
        <v>46329.0</v>
      </c>
      <c r="I85" s="38">
        <v>10.0</v>
      </c>
      <c r="J85" s="30"/>
      <c r="K85" s="30"/>
      <c r="L85" s="30"/>
      <c r="M85" s="30"/>
      <c r="N85" s="30"/>
      <c r="O85" s="30"/>
      <c r="P85" s="30"/>
      <c r="Q85" s="30"/>
      <c r="R85" s="30"/>
      <c r="S85" s="30"/>
      <c r="T85" s="30"/>
      <c r="U85" s="30"/>
      <c r="V85" s="38" t="s">
        <v>40</v>
      </c>
      <c r="W85" s="38" t="s">
        <v>303</v>
      </c>
      <c r="X85" s="30" t="s">
        <v>350</v>
      </c>
      <c r="Y85" s="30"/>
    </row>
    <row r="86" ht="28.5" customHeight="1" outlineLevel="1">
      <c r="A86" s="38" t="s">
        <v>468</v>
      </c>
      <c r="B86" s="30" t="s">
        <v>70</v>
      </c>
      <c r="C86" s="30" t="s">
        <v>469</v>
      </c>
      <c r="D86" s="30" t="s">
        <v>455</v>
      </c>
      <c r="E86" s="38" t="s">
        <v>45</v>
      </c>
      <c r="F86" s="38" t="s">
        <v>32</v>
      </c>
      <c r="G86" s="39">
        <v>46330.0</v>
      </c>
      <c r="H86" s="39">
        <v>46339.0</v>
      </c>
      <c r="I86" s="38">
        <v>6.0</v>
      </c>
      <c r="J86" s="30"/>
      <c r="K86" s="30"/>
      <c r="L86" s="30"/>
      <c r="M86" s="30"/>
      <c r="N86" s="30"/>
      <c r="O86" s="30"/>
      <c r="P86" s="30"/>
      <c r="Q86" s="30"/>
      <c r="R86" s="30"/>
      <c r="S86" s="30"/>
      <c r="T86" s="30"/>
      <c r="U86" s="30"/>
      <c r="V86" s="38" t="s">
        <v>40</v>
      </c>
      <c r="W86" s="38" t="s">
        <v>463</v>
      </c>
      <c r="X86" s="30" t="s">
        <v>470</v>
      </c>
      <c r="Y86" s="30" t="s">
        <v>342</v>
      </c>
    </row>
    <row r="87" ht="19.5" customHeight="1">
      <c r="A87" s="15" t="s">
        <v>471</v>
      </c>
      <c r="B87" s="15" t="s">
        <v>472</v>
      </c>
      <c r="C87" s="15"/>
      <c r="D87" s="15"/>
      <c r="E87" s="15"/>
      <c r="F87" s="15"/>
      <c r="G87" s="36">
        <v>46307.0</v>
      </c>
      <c r="H87" s="36">
        <v>46346.0</v>
      </c>
      <c r="I87" s="37">
        <v>27.0</v>
      </c>
      <c r="J87" s="15"/>
      <c r="K87" s="15"/>
      <c r="L87" s="15"/>
      <c r="M87" s="15"/>
      <c r="N87" s="15"/>
      <c r="O87" s="15"/>
      <c r="P87" s="15"/>
      <c r="Q87" s="15"/>
      <c r="R87" s="15"/>
      <c r="S87" s="15"/>
      <c r="T87" s="15"/>
      <c r="U87" s="15"/>
      <c r="V87" s="15"/>
      <c r="W87" s="15"/>
      <c r="X87" s="15"/>
      <c r="Y87" s="15"/>
    </row>
    <row r="88" ht="54.75" customHeight="1" outlineLevel="1">
      <c r="A88" s="38" t="s">
        <v>477</v>
      </c>
      <c r="B88" s="30" t="s">
        <v>478</v>
      </c>
      <c r="C88" s="30" t="s">
        <v>479</v>
      </c>
      <c r="D88" s="30" t="s">
        <v>480</v>
      </c>
      <c r="E88" s="38" t="s">
        <v>37</v>
      </c>
      <c r="F88" s="38" t="s">
        <v>32</v>
      </c>
      <c r="G88" s="39">
        <v>46316.0</v>
      </c>
      <c r="H88" s="39">
        <v>46330.0</v>
      </c>
      <c r="I88" s="38">
        <v>11.0</v>
      </c>
      <c r="J88" s="30"/>
      <c r="K88" s="30"/>
      <c r="L88" s="30"/>
      <c r="M88" s="30"/>
      <c r="N88" s="30"/>
      <c r="O88" s="30"/>
      <c r="P88" s="30"/>
      <c r="Q88" s="30"/>
      <c r="R88" s="30"/>
      <c r="S88" s="30"/>
      <c r="T88" s="30"/>
      <c r="U88" s="30"/>
      <c r="V88" s="38" t="s">
        <v>40</v>
      </c>
      <c r="W88" s="38" t="s">
        <v>483</v>
      </c>
      <c r="X88" s="30"/>
      <c r="Y88" s="30"/>
    </row>
    <row r="89" ht="42.0" customHeight="1" outlineLevel="1">
      <c r="A89" s="38" t="s">
        <v>484</v>
      </c>
      <c r="B89" s="30" t="s">
        <v>478</v>
      </c>
      <c r="C89" s="30" t="s">
        <v>485</v>
      </c>
      <c r="D89" s="30" t="s">
        <v>480</v>
      </c>
      <c r="E89" s="38" t="s">
        <v>37</v>
      </c>
      <c r="F89" s="38" t="s">
        <v>32</v>
      </c>
      <c r="G89" s="39">
        <v>46317.0</v>
      </c>
      <c r="H89" s="39">
        <v>46331.0</v>
      </c>
      <c r="I89" s="38">
        <v>11.0</v>
      </c>
      <c r="J89" s="30"/>
      <c r="K89" s="30"/>
      <c r="L89" s="30"/>
      <c r="M89" s="30"/>
      <c r="N89" s="30"/>
      <c r="O89" s="30"/>
      <c r="P89" s="30"/>
      <c r="Q89" s="30"/>
      <c r="R89" s="30"/>
      <c r="S89" s="30"/>
      <c r="T89" s="30"/>
      <c r="U89" s="30"/>
      <c r="V89" s="38" t="s">
        <v>40</v>
      </c>
      <c r="W89" s="38" t="s">
        <v>483</v>
      </c>
      <c r="X89" s="30"/>
      <c r="Y89" s="30"/>
    </row>
    <row r="90" ht="42.0" customHeight="1" outlineLevel="1">
      <c r="A90" s="38" t="s">
        <v>492</v>
      </c>
      <c r="B90" s="30" t="s">
        <v>478</v>
      </c>
      <c r="C90" s="30" t="s">
        <v>493</v>
      </c>
      <c r="D90" s="30" t="s">
        <v>480</v>
      </c>
      <c r="E90" s="38" t="s">
        <v>37</v>
      </c>
      <c r="F90" s="38" t="s">
        <v>32</v>
      </c>
      <c r="G90" s="39">
        <v>46317.0</v>
      </c>
      <c r="H90" s="39">
        <v>46329.0</v>
      </c>
      <c r="I90" s="38">
        <v>9.0</v>
      </c>
      <c r="J90" s="30"/>
      <c r="K90" s="30"/>
      <c r="L90" s="30"/>
      <c r="M90" s="30"/>
      <c r="N90" s="30"/>
      <c r="O90" s="30"/>
      <c r="P90" s="30"/>
      <c r="Q90" s="30"/>
      <c r="R90" s="30"/>
      <c r="S90" s="30"/>
      <c r="T90" s="30"/>
      <c r="U90" s="30"/>
      <c r="V90" s="38" t="s">
        <v>40</v>
      </c>
      <c r="W90" s="38" t="s">
        <v>266</v>
      </c>
      <c r="X90" s="30"/>
      <c r="Y90" s="30"/>
    </row>
    <row r="91" ht="28.5" customHeight="1" outlineLevel="1">
      <c r="A91" s="38" t="s">
        <v>496</v>
      </c>
      <c r="B91" s="30" t="s">
        <v>478</v>
      </c>
      <c r="C91" s="30" t="s">
        <v>497</v>
      </c>
      <c r="D91" s="30" t="s">
        <v>480</v>
      </c>
      <c r="E91" s="38" t="s">
        <v>37</v>
      </c>
      <c r="F91" s="38" t="s">
        <v>137</v>
      </c>
      <c r="G91" s="39">
        <v>46321.0</v>
      </c>
      <c r="H91" s="39">
        <v>46325.0</v>
      </c>
      <c r="I91" s="38">
        <v>5.0</v>
      </c>
      <c r="J91" s="30"/>
      <c r="K91" s="30"/>
      <c r="L91" s="30"/>
      <c r="M91" s="30"/>
      <c r="N91" s="30"/>
      <c r="O91" s="30"/>
      <c r="P91" s="30"/>
      <c r="Q91" s="30"/>
      <c r="R91" s="30"/>
      <c r="S91" s="30"/>
      <c r="T91" s="30"/>
      <c r="U91" s="30"/>
      <c r="V91" s="38" t="s">
        <v>40</v>
      </c>
      <c r="W91" s="38" t="s">
        <v>477</v>
      </c>
      <c r="X91" s="30"/>
      <c r="Y91" s="30"/>
    </row>
    <row r="92" ht="42.0" customHeight="1" outlineLevel="1">
      <c r="A92" s="38" t="s">
        <v>499</v>
      </c>
      <c r="B92" s="30" t="s">
        <v>478</v>
      </c>
      <c r="C92" s="30" t="s">
        <v>500</v>
      </c>
      <c r="D92" s="30" t="s">
        <v>480</v>
      </c>
      <c r="E92" s="38" t="s">
        <v>37</v>
      </c>
      <c r="F92" s="38" t="s">
        <v>32</v>
      </c>
      <c r="G92" s="39">
        <v>46321.0</v>
      </c>
      <c r="H92" s="39">
        <v>46332.0</v>
      </c>
      <c r="I92" s="38">
        <v>10.0</v>
      </c>
      <c r="J92" s="30"/>
      <c r="K92" s="30"/>
      <c r="L92" s="30"/>
      <c r="M92" s="30"/>
      <c r="N92" s="30"/>
      <c r="O92" s="30"/>
      <c r="P92" s="30"/>
      <c r="Q92" s="30"/>
      <c r="R92" s="30"/>
      <c r="S92" s="30"/>
      <c r="T92" s="30"/>
      <c r="U92" s="30"/>
      <c r="V92" s="38" t="s">
        <v>40</v>
      </c>
      <c r="W92" s="38" t="s">
        <v>477</v>
      </c>
      <c r="X92" s="30"/>
      <c r="Y92" s="30"/>
    </row>
    <row r="93" ht="42.0" customHeight="1" outlineLevel="1">
      <c r="A93" s="38" t="s">
        <v>503</v>
      </c>
      <c r="B93" s="30" t="s">
        <v>505</v>
      </c>
      <c r="C93" s="30" t="s">
        <v>507</v>
      </c>
      <c r="D93" s="30" t="s">
        <v>509</v>
      </c>
      <c r="E93" s="38" t="s">
        <v>37</v>
      </c>
      <c r="F93" s="38" t="s">
        <v>32</v>
      </c>
      <c r="G93" s="39">
        <v>46321.0</v>
      </c>
      <c r="H93" s="39">
        <v>46332.0</v>
      </c>
      <c r="I93" s="38">
        <v>10.0</v>
      </c>
      <c r="J93" s="30"/>
      <c r="K93" s="30"/>
      <c r="L93" s="30"/>
      <c r="M93" s="30"/>
      <c r="N93" s="30"/>
      <c r="O93" s="30"/>
      <c r="P93" s="30"/>
      <c r="Q93" s="30"/>
      <c r="R93" s="30"/>
      <c r="S93" s="30"/>
      <c r="T93" s="30"/>
      <c r="U93" s="30"/>
      <c r="V93" s="38" t="s">
        <v>40</v>
      </c>
      <c r="W93" s="38" t="s">
        <v>260</v>
      </c>
      <c r="X93" s="30" t="s">
        <v>512</v>
      </c>
      <c r="Y93" s="30"/>
    </row>
    <row r="94" ht="42.0" customHeight="1" outlineLevel="1">
      <c r="A94" s="38" t="s">
        <v>513</v>
      </c>
      <c r="B94" s="30" t="s">
        <v>514</v>
      </c>
      <c r="C94" s="30" t="s">
        <v>515</v>
      </c>
      <c r="D94" s="30" t="s">
        <v>516</v>
      </c>
      <c r="E94" s="38" t="s">
        <v>45</v>
      </c>
      <c r="F94" s="38" t="s">
        <v>32</v>
      </c>
      <c r="G94" s="39">
        <v>46307.0</v>
      </c>
      <c r="H94" s="39">
        <v>46316.0</v>
      </c>
      <c r="I94" s="38">
        <v>7.0</v>
      </c>
      <c r="J94" s="30"/>
      <c r="K94" s="30"/>
      <c r="L94" s="30"/>
      <c r="M94" s="30"/>
      <c r="N94" s="30"/>
      <c r="O94" s="30"/>
      <c r="P94" s="30"/>
      <c r="Q94" s="30"/>
      <c r="R94" s="30"/>
      <c r="S94" s="30"/>
      <c r="T94" s="30"/>
      <c r="U94" s="30"/>
      <c r="V94" s="38" t="s">
        <v>40</v>
      </c>
      <c r="W94" s="38" t="s">
        <v>47</v>
      </c>
      <c r="X94" s="30" t="s">
        <v>517</v>
      </c>
      <c r="Y94" s="30"/>
    </row>
    <row r="95" ht="42.0" customHeight="1" outlineLevel="1">
      <c r="A95" s="38" t="s">
        <v>518</v>
      </c>
      <c r="B95" s="30" t="s">
        <v>514</v>
      </c>
      <c r="C95" s="30" t="s">
        <v>519</v>
      </c>
      <c r="D95" s="30" t="s">
        <v>516</v>
      </c>
      <c r="E95" s="38" t="s">
        <v>37</v>
      </c>
      <c r="F95" s="38" t="s">
        <v>32</v>
      </c>
      <c r="G95" s="39">
        <v>46317.0</v>
      </c>
      <c r="H95" s="39">
        <v>46330.0</v>
      </c>
      <c r="I95" s="38">
        <v>10.0</v>
      </c>
      <c r="J95" s="30"/>
      <c r="K95" s="30"/>
      <c r="L95" s="30"/>
      <c r="M95" s="30"/>
      <c r="N95" s="30"/>
      <c r="O95" s="30"/>
      <c r="P95" s="30"/>
      <c r="Q95" s="30"/>
      <c r="R95" s="30"/>
      <c r="S95" s="30"/>
      <c r="T95" s="30"/>
      <c r="U95" s="30"/>
      <c r="V95" s="38" t="s">
        <v>40</v>
      </c>
      <c r="W95" s="38" t="s">
        <v>513</v>
      </c>
      <c r="X95" s="30"/>
      <c r="Y95" s="30"/>
    </row>
    <row r="96" ht="42.0" customHeight="1" outlineLevel="1">
      <c r="A96" s="38" t="s">
        <v>521</v>
      </c>
      <c r="B96" s="30" t="s">
        <v>514</v>
      </c>
      <c r="C96" s="30" t="s">
        <v>522</v>
      </c>
      <c r="D96" s="30" t="s">
        <v>516</v>
      </c>
      <c r="E96" s="38" t="s">
        <v>55</v>
      </c>
      <c r="F96" s="38" t="s">
        <v>32</v>
      </c>
      <c r="G96" s="39">
        <v>46317.0</v>
      </c>
      <c r="H96" s="39">
        <v>46346.0</v>
      </c>
      <c r="I96" s="38">
        <v>20.0</v>
      </c>
      <c r="J96" s="30"/>
      <c r="K96" s="30"/>
      <c r="L96" s="30"/>
      <c r="M96" s="30"/>
      <c r="N96" s="30"/>
      <c r="O96" s="30"/>
      <c r="P96" s="30"/>
      <c r="Q96" s="30"/>
      <c r="R96" s="30"/>
      <c r="S96" s="30"/>
      <c r="T96" s="30"/>
      <c r="U96" s="30"/>
      <c r="V96" s="38" t="s">
        <v>40</v>
      </c>
      <c r="W96" s="38" t="s">
        <v>513</v>
      </c>
      <c r="X96" s="30" t="s">
        <v>524</v>
      </c>
      <c r="Y96" s="30" t="s">
        <v>525</v>
      </c>
    </row>
    <row r="97" ht="28.5" customHeight="1" outlineLevel="1">
      <c r="A97" s="38" t="s">
        <v>526</v>
      </c>
      <c r="B97" s="30" t="s">
        <v>514</v>
      </c>
      <c r="C97" s="30" t="s">
        <v>527</v>
      </c>
      <c r="D97" s="30" t="s">
        <v>516</v>
      </c>
      <c r="E97" s="38" t="s">
        <v>45</v>
      </c>
      <c r="F97" s="38" t="s">
        <v>32</v>
      </c>
      <c r="G97" s="39">
        <v>46337.0</v>
      </c>
      <c r="H97" s="39">
        <v>46346.0</v>
      </c>
      <c r="I97" s="38">
        <v>8.0</v>
      </c>
      <c r="J97" s="30"/>
      <c r="K97" s="30"/>
      <c r="L97" s="30"/>
      <c r="M97" s="30"/>
      <c r="N97" s="30"/>
      <c r="O97" s="30"/>
      <c r="P97" s="30"/>
      <c r="Q97" s="30"/>
      <c r="R97" s="30"/>
      <c r="S97" s="30"/>
      <c r="T97" s="30"/>
      <c r="U97" s="30"/>
      <c r="V97" s="38" t="s">
        <v>40</v>
      </c>
      <c r="W97" s="38" t="s">
        <v>528</v>
      </c>
      <c r="X97" s="30"/>
      <c r="Y97" s="30"/>
    </row>
    <row r="98" ht="28.5" customHeight="1" outlineLevel="1">
      <c r="A98" s="38" t="s">
        <v>529</v>
      </c>
      <c r="B98" s="30" t="s">
        <v>530</v>
      </c>
      <c r="C98" s="30" t="s">
        <v>531</v>
      </c>
      <c r="D98" s="30" t="s">
        <v>532</v>
      </c>
      <c r="E98" s="38" t="s">
        <v>45</v>
      </c>
      <c r="F98" s="38" t="s">
        <v>32</v>
      </c>
      <c r="G98" s="39">
        <v>46307.0</v>
      </c>
      <c r="H98" s="39">
        <v>46316.0</v>
      </c>
      <c r="I98" s="38">
        <v>7.0</v>
      </c>
      <c r="J98" s="30"/>
      <c r="K98" s="30"/>
      <c r="L98" s="30"/>
      <c r="M98" s="30"/>
      <c r="N98" s="30"/>
      <c r="O98" s="30"/>
      <c r="P98" s="30"/>
      <c r="Q98" s="30"/>
      <c r="R98" s="30"/>
      <c r="S98" s="30"/>
      <c r="T98" s="30"/>
      <c r="U98" s="30"/>
      <c r="V98" s="38" t="s">
        <v>40</v>
      </c>
      <c r="W98" s="38" t="s">
        <v>47</v>
      </c>
      <c r="X98" s="30" t="s">
        <v>517</v>
      </c>
      <c r="Y98" s="30"/>
    </row>
    <row r="99" ht="15.75" customHeight="1" outlineLevel="1">
      <c r="A99" s="38" t="s">
        <v>533</v>
      </c>
      <c r="B99" s="30" t="s">
        <v>530</v>
      </c>
      <c r="C99" s="30" t="s">
        <v>534</v>
      </c>
      <c r="D99" s="30" t="s">
        <v>532</v>
      </c>
      <c r="E99" s="38" t="s">
        <v>37</v>
      </c>
      <c r="F99" s="38" t="s">
        <v>32</v>
      </c>
      <c r="G99" s="39">
        <v>46317.0</v>
      </c>
      <c r="H99" s="39">
        <v>46330.0</v>
      </c>
      <c r="I99" s="38">
        <v>10.0</v>
      </c>
      <c r="J99" s="30"/>
      <c r="K99" s="30"/>
      <c r="L99" s="30"/>
      <c r="M99" s="30"/>
      <c r="N99" s="30"/>
      <c r="O99" s="30"/>
      <c r="P99" s="30"/>
      <c r="Q99" s="30"/>
      <c r="R99" s="30"/>
      <c r="S99" s="30"/>
      <c r="T99" s="30"/>
      <c r="U99" s="30"/>
      <c r="V99" s="38" t="s">
        <v>40</v>
      </c>
      <c r="W99" s="38" t="s">
        <v>529</v>
      </c>
      <c r="X99" s="30"/>
      <c r="Y99" s="30"/>
    </row>
    <row r="100" ht="28.5" customHeight="1" outlineLevel="1">
      <c r="A100" s="38" t="s">
        <v>535</v>
      </c>
      <c r="B100" s="30" t="s">
        <v>530</v>
      </c>
      <c r="C100" s="30" t="s">
        <v>536</v>
      </c>
      <c r="D100" s="30" t="s">
        <v>532</v>
      </c>
      <c r="E100" s="38" t="s">
        <v>55</v>
      </c>
      <c r="F100" s="38" t="s">
        <v>32</v>
      </c>
      <c r="G100" s="39">
        <v>46317.0</v>
      </c>
      <c r="H100" s="39">
        <v>46332.0</v>
      </c>
      <c r="I100" s="38">
        <v>12.0</v>
      </c>
      <c r="J100" s="30"/>
      <c r="K100" s="30"/>
      <c r="L100" s="30"/>
      <c r="M100" s="30"/>
      <c r="N100" s="30"/>
      <c r="O100" s="30"/>
      <c r="P100" s="30"/>
      <c r="Q100" s="30"/>
      <c r="R100" s="30"/>
      <c r="S100" s="30"/>
      <c r="T100" s="30"/>
      <c r="U100" s="30"/>
      <c r="V100" s="38" t="s">
        <v>40</v>
      </c>
      <c r="W100" s="38" t="s">
        <v>529</v>
      </c>
      <c r="X100" s="30"/>
      <c r="Y100" s="30"/>
    </row>
    <row r="101" ht="15.75" customHeight="1" outlineLevel="1">
      <c r="A101" s="38" t="s">
        <v>537</v>
      </c>
      <c r="B101" s="30" t="s">
        <v>530</v>
      </c>
      <c r="C101" s="30" t="s">
        <v>538</v>
      </c>
      <c r="D101" s="30" t="s">
        <v>532</v>
      </c>
      <c r="E101" s="38" t="s">
        <v>45</v>
      </c>
      <c r="F101" s="38" t="s">
        <v>32</v>
      </c>
      <c r="G101" s="39">
        <v>46337.0</v>
      </c>
      <c r="H101" s="39">
        <v>46344.0</v>
      </c>
      <c r="I101" s="38">
        <v>6.0</v>
      </c>
      <c r="J101" s="30"/>
      <c r="K101" s="30"/>
      <c r="L101" s="30"/>
      <c r="M101" s="30"/>
      <c r="N101" s="30"/>
      <c r="O101" s="30"/>
      <c r="P101" s="30"/>
      <c r="Q101" s="30"/>
      <c r="R101" s="30"/>
      <c r="S101" s="30"/>
      <c r="T101" s="30"/>
      <c r="U101" s="30"/>
      <c r="V101" s="38" t="s">
        <v>40</v>
      </c>
      <c r="W101" s="38" t="s">
        <v>539</v>
      </c>
      <c r="X101" s="30"/>
      <c r="Y101" s="30"/>
    </row>
    <row r="102" ht="42.0" customHeight="1" outlineLevel="1">
      <c r="A102" s="38" t="s">
        <v>540</v>
      </c>
      <c r="B102" s="30" t="s">
        <v>541</v>
      </c>
      <c r="C102" s="30" t="s">
        <v>542</v>
      </c>
      <c r="D102" s="30" t="s">
        <v>543</v>
      </c>
      <c r="E102" s="38" t="s">
        <v>37</v>
      </c>
      <c r="F102" s="38" t="s">
        <v>164</v>
      </c>
      <c r="G102" s="39">
        <v>46328.0</v>
      </c>
      <c r="H102" s="39">
        <v>46332.0</v>
      </c>
      <c r="I102" s="38">
        <v>5.0</v>
      </c>
      <c r="J102" s="30"/>
      <c r="K102" s="30"/>
      <c r="L102" s="30"/>
      <c r="M102" s="30"/>
      <c r="N102" s="30"/>
      <c r="O102" s="30"/>
      <c r="P102" s="30"/>
      <c r="Q102" s="30"/>
      <c r="R102" s="30"/>
      <c r="S102" s="30"/>
      <c r="T102" s="30"/>
      <c r="U102" s="30"/>
      <c r="V102" s="38" t="s">
        <v>40</v>
      </c>
      <c r="W102" s="38" t="s">
        <v>477</v>
      </c>
      <c r="X102" s="30" t="s">
        <v>544</v>
      </c>
      <c r="Y102" s="30"/>
    </row>
    <row r="103" ht="42.0" customHeight="1" outlineLevel="1">
      <c r="A103" s="38" t="s">
        <v>545</v>
      </c>
      <c r="B103" s="30" t="s">
        <v>546</v>
      </c>
      <c r="C103" s="30" t="s">
        <v>547</v>
      </c>
      <c r="D103" s="30" t="s">
        <v>543</v>
      </c>
      <c r="E103" s="38" t="s">
        <v>37</v>
      </c>
      <c r="F103" s="38" t="s">
        <v>137</v>
      </c>
      <c r="G103" s="39">
        <v>46328.0</v>
      </c>
      <c r="H103" s="39">
        <v>46339.0</v>
      </c>
      <c r="I103" s="38">
        <v>8.0</v>
      </c>
      <c r="J103" s="30"/>
      <c r="K103" s="30"/>
      <c r="L103" s="30"/>
      <c r="M103" s="30"/>
      <c r="N103" s="30"/>
      <c r="O103" s="30"/>
      <c r="P103" s="30"/>
      <c r="Q103" s="30"/>
      <c r="R103" s="30"/>
      <c r="S103" s="30"/>
      <c r="T103" s="30"/>
      <c r="U103" s="30"/>
      <c r="V103" s="38" t="s">
        <v>40</v>
      </c>
      <c r="W103" s="38" t="s">
        <v>548</v>
      </c>
      <c r="X103" s="30"/>
      <c r="Y103" s="30" t="s">
        <v>549</v>
      </c>
    </row>
    <row r="104" ht="19.5" customHeight="1">
      <c r="A104" s="15" t="s">
        <v>550</v>
      </c>
      <c r="B104" s="15" t="s">
        <v>551</v>
      </c>
      <c r="C104" s="15"/>
      <c r="D104" s="15"/>
      <c r="E104" s="15"/>
      <c r="F104" s="15"/>
      <c r="G104" s="36">
        <v>46309.0</v>
      </c>
      <c r="H104" s="36">
        <v>46352.0</v>
      </c>
      <c r="I104" s="37">
        <v>28.0</v>
      </c>
      <c r="J104" s="15"/>
      <c r="K104" s="15"/>
      <c r="L104" s="15"/>
      <c r="M104" s="15"/>
      <c r="N104" s="15"/>
      <c r="O104" s="15"/>
      <c r="P104" s="15"/>
      <c r="Q104" s="15"/>
      <c r="R104" s="15"/>
      <c r="S104" s="15"/>
      <c r="T104" s="15"/>
      <c r="U104" s="15"/>
      <c r="V104" s="15"/>
      <c r="W104" s="15"/>
      <c r="X104" s="15"/>
      <c r="Y104" s="15"/>
    </row>
    <row r="105" ht="42.0" customHeight="1" outlineLevel="1">
      <c r="A105" s="38" t="s">
        <v>552</v>
      </c>
      <c r="B105" s="30" t="s">
        <v>553</v>
      </c>
      <c r="C105" s="30" t="s">
        <v>554</v>
      </c>
      <c r="D105" s="30" t="s">
        <v>543</v>
      </c>
      <c r="E105" s="38" t="s">
        <v>37</v>
      </c>
      <c r="F105" s="38" t="s">
        <v>32</v>
      </c>
      <c r="G105" s="39">
        <v>46314.0</v>
      </c>
      <c r="H105" s="39">
        <v>46332.0</v>
      </c>
      <c r="I105" s="38">
        <v>14.0</v>
      </c>
      <c r="J105" s="30"/>
      <c r="K105" s="30"/>
      <c r="L105" s="30"/>
      <c r="M105" s="30"/>
      <c r="N105" s="30"/>
      <c r="O105" s="30"/>
      <c r="P105" s="30"/>
      <c r="Q105" s="30"/>
      <c r="R105" s="30"/>
      <c r="S105" s="30"/>
      <c r="T105" s="30"/>
      <c r="U105" s="30"/>
      <c r="V105" s="38" t="s">
        <v>40</v>
      </c>
      <c r="W105" s="38" t="s">
        <v>311</v>
      </c>
      <c r="X105" s="30" t="s">
        <v>562</v>
      </c>
      <c r="Y105" s="30"/>
    </row>
    <row r="106" ht="42.0" customHeight="1" outlineLevel="1">
      <c r="A106" s="38" t="s">
        <v>565</v>
      </c>
      <c r="B106" s="30" t="s">
        <v>553</v>
      </c>
      <c r="C106" s="30" t="s">
        <v>566</v>
      </c>
      <c r="D106" s="30" t="s">
        <v>567</v>
      </c>
      <c r="E106" s="38" t="s">
        <v>37</v>
      </c>
      <c r="F106" s="38" t="s">
        <v>32</v>
      </c>
      <c r="G106" s="39">
        <v>46317.0</v>
      </c>
      <c r="H106" s="39">
        <v>46332.0</v>
      </c>
      <c r="I106" s="38">
        <v>12.0</v>
      </c>
      <c r="J106" s="30"/>
      <c r="K106" s="30"/>
      <c r="L106" s="30"/>
      <c r="M106" s="30"/>
      <c r="N106" s="30"/>
      <c r="O106" s="30"/>
      <c r="P106" s="30"/>
      <c r="Q106" s="30"/>
      <c r="R106" s="30"/>
      <c r="S106" s="30"/>
      <c r="T106" s="30"/>
      <c r="U106" s="30"/>
      <c r="V106" s="38" t="s">
        <v>40</v>
      </c>
      <c r="W106" s="38" t="s">
        <v>260</v>
      </c>
      <c r="X106" s="30" t="s">
        <v>568</v>
      </c>
      <c r="Y106" s="30"/>
    </row>
    <row r="107" ht="54.75" customHeight="1" outlineLevel="1">
      <c r="A107" s="38" t="s">
        <v>569</v>
      </c>
      <c r="B107" s="30" t="s">
        <v>553</v>
      </c>
      <c r="C107" s="30" t="s">
        <v>570</v>
      </c>
      <c r="D107" s="30" t="s">
        <v>571</v>
      </c>
      <c r="E107" s="38" t="s">
        <v>45</v>
      </c>
      <c r="F107" s="38" t="s">
        <v>32</v>
      </c>
      <c r="G107" s="39">
        <v>46309.0</v>
      </c>
      <c r="H107" s="39">
        <v>46323.0</v>
      </c>
      <c r="I107" s="38">
        <v>10.0</v>
      </c>
      <c r="J107" s="30"/>
      <c r="K107" s="30"/>
      <c r="L107" s="30"/>
      <c r="M107" s="30"/>
      <c r="N107" s="30"/>
      <c r="O107" s="30"/>
      <c r="P107" s="30"/>
      <c r="Q107" s="30"/>
      <c r="R107" s="30"/>
      <c r="S107" s="30"/>
      <c r="T107" s="30"/>
      <c r="U107" s="30"/>
      <c r="V107" s="38" t="s">
        <v>40</v>
      </c>
      <c r="W107" s="38" t="s">
        <v>151</v>
      </c>
      <c r="X107" s="30" t="s">
        <v>577</v>
      </c>
      <c r="Y107" s="30"/>
    </row>
    <row r="108" ht="28.5" customHeight="1" outlineLevel="1">
      <c r="A108" s="38" t="s">
        <v>578</v>
      </c>
      <c r="B108" s="30" t="s">
        <v>553</v>
      </c>
      <c r="C108" s="30" t="s">
        <v>579</v>
      </c>
      <c r="D108" s="30" t="s">
        <v>543</v>
      </c>
      <c r="E108" s="38" t="s">
        <v>37</v>
      </c>
      <c r="F108" s="38" t="s">
        <v>137</v>
      </c>
      <c r="G108" s="39">
        <v>46328.0</v>
      </c>
      <c r="H108" s="39">
        <v>46337.0</v>
      </c>
      <c r="I108" s="38">
        <v>6.0</v>
      </c>
      <c r="J108" s="30"/>
      <c r="K108" s="30"/>
      <c r="L108" s="30"/>
      <c r="M108" s="30"/>
      <c r="N108" s="30"/>
      <c r="O108" s="30"/>
      <c r="P108" s="30"/>
      <c r="Q108" s="30"/>
      <c r="R108" s="30"/>
      <c r="S108" s="30"/>
      <c r="T108" s="30"/>
      <c r="U108" s="30"/>
      <c r="V108" s="38" t="s">
        <v>40</v>
      </c>
      <c r="W108" s="38" t="s">
        <v>561</v>
      </c>
      <c r="X108" s="30"/>
      <c r="Y108" s="30"/>
    </row>
    <row r="109" ht="42.0" customHeight="1" outlineLevel="1">
      <c r="A109" s="38" t="s">
        <v>583</v>
      </c>
      <c r="B109" s="30" t="s">
        <v>584</v>
      </c>
      <c r="C109" s="30" t="s">
        <v>585</v>
      </c>
      <c r="D109" s="30" t="s">
        <v>305</v>
      </c>
      <c r="E109" s="38" t="s">
        <v>37</v>
      </c>
      <c r="F109" s="38" t="s">
        <v>32</v>
      </c>
      <c r="G109" s="39">
        <v>46316.0</v>
      </c>
      <c r="H109" s="39">
        <v>46332.0</v>
      </c>
      <c r="I109" s="38">
        <v>13.0</v>
      </c>
      <c r="J109" s="30"/>
      <c r="K109" s="30"/>
      <c r="L109" s="30"/>
      <c r="M109" s="30"/>
      <c r="N109" s="30"/>
      <c r="O109" s="30"/>
      <c r="P109" s="30"/>
      <c r="Q109" s="30"/>
      <c r="R109" s="30"/>
      <c r="S109" s="30"/>
      <c r="T109" s="30"/>
      <c r="U109" s="30"/>
      <c r="V109" s="38" t="s">
        <v>40</v>
      </c>
      <c r="W109" s="38" t="s">
        <v>548</v>
      </c>
      <c r="X109" s="30" t="s">
        <v>586</v>
      </c>
      <c r="Y109" s="30"/>
    </row>
    <row r="110" ht="42.0" customHeight="1" outlineLevel="1">
      <c r="A110" s="38" t="s">
        <v>587</v>
      </c>
      <c r="B110" s="30" t="s">
        <v>584</v>
      </c>
      <c r="C110" s="30" t="s">
        <v>588</v>
      </c>
      <c r="D110" s="30" t="s">
        <v>305</v>
      </c>
      <c r="E110" s="38" t="s">
        <v>37</v>
      </c>
      <c r="F110" s="38" t="s">
        <v>32</v>
      </c>
      <c r="G110" s="39">
        <v>46321.0</v>
      </c>
      <c r="H110" s="39">
        <v>46339.0</v>
      </c>
      <c r="I110" s="38">
        <v>13.0</v>
      </c>
      <c r="J110" s="30"/>
      <c r="K110" s="30"/>
      <c r="L110" s="30"/>
      <c r="M110" s="30"/>
      <c r="N110" s="30"/>
      <c r="O110" s="30"/>
      <c r="P110" s="30"/>
      <c r="Q110" s="30"/>
      <c r="R110" s="30"/>
      <c r="S110" s="30"/>
      <c r="T110" s="30"/>
      <c r="U110" s="30"/>
      <c r="V110" s="38" t="s">
        <v>40</v>
      </c>
      <c r="W110" s="38" t="s">
        <v>593</v>
      </c>
      <c r="X110" s="30" t="s">
        <v>594</v>
      </c>
      <c r="Y110" s="30"/>
    </row>
    <row r="111" ht="42.0" customHeight="1" outlineLevel="1">
      <c r="A111" s="38" t="s">
        <v>595</v>
      </c>
      <c r="B111" s="30" t="s">
        <v>584</v>
      </c>
      <c r="C111" s="30" t="s">
        <v>597</v>
      </c>
      <c r="D111" s="30" t="s">
        <v>305</v>
      </c>
      <c r="E111" s="38" t="s">
        <v>37</v>
      </c>
      <c r="F111" s="38" t="s">
        <v>32</v>
      </c>
      <c r="G111" s="39">
        <v>46321.0</v>
      </c>
      <c r="H111" s="39">
        <v>46339.0</v>
      </c>
      <c r="I111" s="38">
        <v>13.0</v>
      </c>
      <c r="J111" s="30"/>
      <c r="K111" s="30"/>
      <c r="L111" s="30"/>
      <c r="M111" s="30"/>
      <c r="N111" s="30"/>
      <c r="O111" s="30"/>
      <c r="P111" s="30"/>
      <c r="Q111" s="30"/>
      <c r="R111" s="30"/>
      <c r="S111" s="30"/>
      <c r="T111" s="30"/>
      <c r="U111" s="30"/>
      <c r="V111" s="38" t="s">
        <v>40</v>
      </c>
      <c r="W111" s="38" t="s">
        <v>593</v>
      </c>
      <c r="X111" s="30"/>
      <c r="Y111" s="30"/>
    </row>
    <row r="112" ht="28.5" customHeight="1" outlineLevel="1">
      <c r="A112" s="38" t="s">
        <v>593</v>
      </c>
      <c r="B112" s="30" t="s">
        <v>584</v>
      </c>
      <c r="C112" s="30" t="s">
        <v>599</v>
      </c>
      <c r="D112" s="30" t="s">
        <v>305</v>
      </c>
      <c r="E112" s="38" t="s">
        <v>55</v>
      </c>
      <c r="F112" s="38" t="s">
        <v>32</v>
      </c>
      <c r="G112" s="39">
        <v>46309.0</v>
      </c>
      <c r="H112" s="39">
        <v>46318.0</v>
      </c>
      <c r="I112" s="38">
        <v>7.0</v>
      </c>
      <c r="J112" s="30"/>
      <c r="K112" s="30"/>
      <c r="L112" s="30"/>
      <c r="M112" s="30"/>
      <c r="N112" s="30"/>
      <c r="O112" s="30"/>
      <c r="P112" s="30"/>
      <c r="Q112" s="30"/>
      <c r="R112" s="30"/>
      <c r="S112" s="30"/>
      <c r="T112" s="30"/>
      <c r="U112" s="30"/>
      <c r="V112" s="38" t="s">
        <v>40</v>
      </c>
      <c r="W112" s="38" t="s">
        <v>162</v>
      </c>
      <c r="X112" s="30" t="s">
        <v>600</v>
      </c>
      <c r="Y112" s="30" t="s">
        <v>601</v>
      </c>
    </row>
    <row r="113" ht="28.5" customHeight="1" outlineLevel="1">
      <c r="A113" s="38" t="s">
        <v>602</v>
      </c>
      <c r="B113" s="30" t="s">
        <v>584</v>
      </c>
      <c r="C113" s="30" t="s">
        <v>603</v>
      </c>
      <c r="D113" s="30" t="s">
        <v>305</v>
      </c>
      <c r="E113" s="38" t="s">
        <v>45</v>
      </c>
      <c r="F113" s="38" t="s">
        <v>32</v>
      </c>
      <c r="G113" s="39">
        <v>46337.0</v>
      </c>
      <c r="H113" s="39">
        <v>46351.0</v>
      </c>
      <c r="I113" s="38">
        <v>10.0</v>
      </c>
      <c r="J113" s="30"/>
      <c r="K113" s="30"/>
      <c r="L113" s="30"/>
      <c r="M113" s="30"/>
      <c r="N113" s="30"/>
      <c r="O113" s="30"/>
      <c r="P113" s="30"/>
      <c r="Q113" s="30"/>
      <c r="R113" s="30"/>
      <c r="S113" s="30"/>
      <c r="T113" s="30"/>
      <c r="U113" s="30"/>
      <c r="V113" s="38" t="s">
        <v>40</v>
      </c>
      <c r="W113" s="38" t="s">
        <v>604</v>
      </c>
      <c r="X113" s="30"/>
      <c r="Y113" s="30"/>
    </row>
    <row r="114" ht="15.75" customHeight="1" outlineLevel="1">
      <c r="A114" s="38" t="s">
        <v>605</v>
      </c>
      <c r="B114" s="30" t="s">
        <v>584</v>
      </c>
      <c r="C114" s="30" t="s">
        <v>606</v>
      </c>
      <c r="D114" s="30" t="s">
        <v>305</v>
      </c>
      <c r="E114" s="38" t="s">
        <v>55</v>
      </c>
      <c r="F114" s="38" t="s">
        <v>32</v>
      </c>
      <c r="G114" s="39">
        <v>46352.0</v>
      </c>
      <c r="H114" s="39">
        <v>46352.0</v>
      </c>
      <c r="I114" s="38">
        <v>1.0</v>
      </c>
      <c r="J114" s="30"/>
      <c r="K114" s="30"/>
      <c r="L114" s="30"/>
      <c r="M114" s="30"/>
      <c r="N114" s="30"/>
      <c r="O114" s="30"/>
      <c r="P114" s="30"/>
      <c r="Q114" s="30"/>
      <c r="R114" s="30"/>
      <c r="S114" s="30"/>
      <c r="T114" s="30"/>
      <c r="U114" s="30"/>
      <c r="V114" s="38" t="s">
        <v>40</v>
      </c>
      <c r="W114" s="38" t="s">
        <v>602</v>
      </c>
      <c r="X114" s="30"/>
      <c r="Y114" s="30"/>
    </row>
    <row r="115" ht="19.5" customHeight="1">
      <c r="A115" s="15" t="s">
        <v>614</v>
      </c>
      <c r="B115" s="15" t="s">
        <v>615</v>
      </c>
      <c r="C115" s="15"/>
      <c r="D115" s="15"/>
      <c r="E115" s="15"/>
      <c r="F115" s="15"/>
      <c r="G115" s="36">
        <v>46309.0</v>
      </c>
      <c r="H115" s="36">
        <v>46353.0</v>
      </c>
      <c r="I115" s="37">
        <v>29.0</v>
      </c>
      <c r="J115" s="15"/>
      <c r="K115" s="15"/>
      <c r="L115" s="15"/>
      <c r="M115" s="15"/>
      <c r="N115" s="15"/>
      <c r="O115" s="15"/>
      <c r="P115" s="15"/>
      <c r="Q115" s="15"/>
      <c r="R115" s="15"/>
      <c r="S115" s="15"/>
      <c r="T115" s="15"/>
      <c r="U115" s="15"/>
      <c r="V115" s="15"/>
      <c r="W115" s="15"/>
      <c r="X115" s="15"/>
      <c r="Y115" s="15"/>
    </row>
    <row r="116" ht="54.75" customHeight="1" outlineLevel="1">
      <c r="A116" s="38" t="s">
        <v>616</v>
      </c>
      <c r="B116" s="30" t="s">
        <v>617</v>
      </c>
      <c r="C116" s="30" t="s">
        <v>618</v>
      </c>
      <c r="D116" s="30" t="s">
        <v>146</v>
      </c>
      <c r="E116" s="38" t="s">
        <v>45</v>
      </c>
      <c r="F116" s="38" t="s">
        <v>32</v>
      </c>
      <c r="G116" s="39">
        <v>46309.0</v>
      </c>
      <c r="H116" s="39">
        <v>46311.0</v>
      </c>
      <c r="I116" s="38">
        <v>3.0</v>
      </c>
      <c r="J116" s="30"/>
      <c r="K116" s="30"/>
      <c r="L116" s="30"/>
      <c r="M116" s="30"/>
      <c r="N116" s="30"/>
      <c r="O116" s="30"/>
      <c r="P116" s="30"/>
      <c r="Q116" s="30"/>
      <c r="R116" s="30"/>
      <c r="S116" s="30"/>
      <c r="T116" s="30"/>
      <c r="U116" s="30"/>
      <c r="V116" s="38" t="s">
        <v>40</v>
      </c>
      <c r="W116" s="38" t="s">
        <v>47</v>
      </c>
      <c r="X116" s="30" t="s">
        <v>619</v>
      </c>
      <c r="Y116" s="30" t="s">
        <v>620</v>
      </c>
    </row>
    <row r="117" ht="42.0" customHeight="1" outlineLevel="1">
      <c r="A117" s="38" t="s">
        <v>621</v>
      </c>
      <c r="B117" s="30" t="s">
        <v>617</v>
      </c>
      <c r="C117" s="30" t="s">
        <v>623</v>
      </c>
      <c r="D117" s="30" t="s">
        <v>146</v>
      </c>
      <c r="E117" s="38" t="s">
        <v>45</v>
      </c>
      <c r="F117" s="38" t="s">
        <v>32</v>
      </c>
      <c r="G117" s="39">
        <v>46314.0</v>
      </c>
      <c r="H117" s="39">
        <v>46318.0</v>
      </c>
      <c r="I117" s="38">
        <v>4.0</v>
      </c>
      <c r="J117" s="30"/>
      <c r="K117" s="30"/>
      <c r="L117" s="30"/>
      <c r="M117" s="30"/>
      <c r="N117" s="30"/>
      <c r="O117" s="30"/>
      <c r="P117" s="30"/>
      <c r="Q117" s="30"/>
      <c r="R117" s="30"/>
      <c r="S117" s="30"/>
      <c r="T117" s="30"/>
      <c r="U117" s="30"/>
      <c r="V117" s="38" t="s">
        <v>40</v>
      </c>
      <c r="W117" s="38" t="s">
        <v>616</v>
      </c>
      <c r="X117" s="30"/>
      <c r="Y117" s="30"/>
    </row>
    <row r="118" ht="42.0" customHeight="1" outlineLevel="1">
      <c r="A118" s="38" t="s">
        <v>626</v>
      </c>
      <c r="B118" s="30" t="s">
        <v>617</v>
      </c>
      <c r="C118" s="30" t="s">
        <v>627</v>
      </c>
      <c r="D118" s="30" t="s">
        <v>543</v>
      </c>
      <c r="E118" s="38" t="s">
        <v>37</v>
      </c>
      <c r="F118" s="38" t="s">
        <v>32</v>
      </c>
      <c r="G118" s="39">
        <v>46321.0</v>
      </c>
      <c r="H118" s="39">
        <v>46329.0</v>
      </c>
      <c r="I118" s="38">
        <v>7.0</v>
      </c>
      <c r="J118" s="30"/>
      <c r="K118" s="30"/>
      <c r="L118" s="30"/>
      <c r="M118" s="30"/>
      <c r="N118" s="30"/>
      <c r="O118" s="30"/>
      <c r="P118" s="30"/>
      <c r="Q118" s="30"/>
      <c r="R118" s="30"/>
      <c r="S118" s="30"/>
      <c r="T118" s="30"/>
      <c r="U118" s="30"/>
      <c r="V118" s="38" t="s">
        <v>40</v>
      </c>
      <c r="W118" s="38" t="s">
        <v>621</v>
      </c>
      <c r="X118" s="30"/>
      <c r="Y118" s="30" t="s">
        <v>628</v>
      </c>
    </row>
    <row r="119" ht="28.5" customHeight="1" outlineLevel="1">
      <c r="A119" s="38" t="s">
        <v>629</v>
      </c>
      <c r="B119" s="30" t="s">
        <v>617</v>
      </c>
      <c r="C119" s="30" t="s">
        <v>630</v>
      </c>
      <c r="D119" s="30" t="s">
        <v>543</v>
      </c>
      <c r="E119" s="38" t="s">
        <v>37</v>
      </c>
      <c r="F119" s="38" t="s">
        <v>32</v>
      </c>
      <c r="G119" s="39">
        <v>46321.0</v>
      </c>
      <c r="H119" s="39">
        <v>46329.0</v>
      </c>
      <c r="I119" s="38">
        <v>7.0</v>
      </c>
      <c r="J119" s="30"/>
      <c r="K119" s="30"/>
      <c r="L119" s="30"/>
      <c r="M119" s="30"/>
      <c r="N119" s="30"/>
      <c r="O119" s="30"/>
      <c r="P119" s="30"/>
      <c r="Q119" s="30"/>
      <c r="R119" s="30"/>
      <c r="S119" s="30"/>
      <c r="T119" s="30"/>
      <c r="U119" s="30"/>
      <c r="V119" s="38" t="s">
        <v>40</v>
      </c>
      <c r="W119" s="38" t="s">
        <v>621</v>
      </c>
      <c r="X119" s="30"/>
      <c r="Y119" s="30" t="s">
        <v>628</v>
      </c>
    </row>
    <row r="120" ht="28.5" customHeight="1" outlineLevel="1">
      <c r="A120" s="38" t="s">
        <v>631</v>
      </c>
      <c r="B120" s="30" t="s">
        <v>617</v>
      </c>
      <c r="C120" s="30" t="s">
        <v>632</v>
      </c>
      <c r="D120" s="30" t="s">
        <v>543</v>
      </c>
      <c r="E120" s="38" t="s">
        <v>37</v>
      </c>
      <c r="F120" s="38" t="s">
        <v>32</v>
      </c>
      <c r="G120" s="39">
        <v>46321.0</v>
      </c>
      <c r="H120" s="39">
        <v>46329.0</v>
      </c>
      <c r="I120" s="38">
        <v>7.0</v>
      </c>
      <c r="J120" s="30"/>
      <c r="K120" s="30"/>
      <c r="L120" s="30"/>
      <c r="M120" s="30"/>
      <c r="N120" s="30"/>
      <c r="O120" s="30"/>
      <c r="P120" s="30"/>
      <c r="Q120" s="30"/>
      <c r="R120" s="30"/>
      <c r="S120" s="30"/>
      <c r="T120" s="30"/>
      <c r="U120" s="30"/>
      <c r="V120" s="38" t="s">
        <v>40</v>
      </c>
      <c r="W120" s="38" t="s">
        <v>621</v>
      </c>
      <c r="X120" s="30" t="s">
        <v>633</v>
      </c>
      <c r="Y120" s="30" t="s">
        <v>628</v>
      </c>
    </row>
    <row r="121" ht="28.5" customHeight="1" outlineLevel="1">
      <c r="A121" s="38" t="s">
        <v>634</v>
      </c>
      <c r="B121" s="30" t="s">
        <v>617</v>
      </c>
      <c r="C121" s="30" t="s">
        <v>635</v>
      </c>
      <c r="D121" s="30" t="s">
        <v>543</v>
      </c>
      <c r="E121" s="38" t="s">
        <v>37</v>
      </c>
      <c r="F121" s="38" t="s">
        <v>32</v>
      </c>
      <c r="G121" s="39">
        <v>46321.0</v>
      </c>
      <c r="H121" s="39">
        <v>46329.0</v>
      </c>
      <c r="I121" s="38">
        <v>7.0</v>
      </c>
      <c r="J121" s="30"/>
      <c r="K121" s="30"/>
      <c r="L121" s="30"/>
      <c r="M121" s="30"/>
      <c r="N121" s="30"/>
      <c r="O121" s="30"/>
      <c r="P121" s="30"/>
      <c r="Q121" s="30"/>
      <c r="R121" s="30"/>
      <c r="S121" s="30"/>
      <c r="T121" s="30"/>
      <c r="U121" s="30"/>
      <c r="V121" s="38" t="s">
        <v>40</v>
      </c>
      <c r="W121" s="38" t="s">
        <v>621</v>
      </c>
      <c r="X121" s="30" t="s">
        <v>636</v>
      </c>
      <c r="Y121" s="30" t="s">
        <v>628</v>
      </c>
    </row>
    <row r="122" ht="42.0" customHeight="1" outlineLevel="1">
      <c r="A122" s="38" t="s">
        <v>637</v>
      </c>
      <c r="B122" s="30" t="s">
        <v>617</v>
      </c>
      <c r="C122" s="30" t="s">
        <v>638</v>
      </c>
      <c r="D122" s="30" t="s">
        <v>543</v>
      </c>
      <c r="E122" s="38" t="s">
        <v>45</v>
      </c>
      <c r="F122" s="38" t="s">
        <v>137</v>
      </c>
      <c r="G122" s="39">
        <v>46321.0</v>
      </c>
      <c r="H122" s="39">
        <v>46325.0</v>
      </c>
      <c r="I122" s="38">
        <v>5.0</v>
      </c>
      <c r="J122" s="30"/>
      <c r="K122" s="30"/>
      <c r="L122" s="30"/>
      <c r="M122" s="30"/>
      <c r="N122" s="30"/>
      <c r="O122" s="30"/>
      <c r="P122" s="30"/>
      <c r="Q122" s="30"/>
      <c r="R122" s="30"/>
      <c r="S122" s="30"/>
      <c r="T122" s="30"/>
      <c r="U122" s="30"/>
      <c r="V122" s="38" t="s">
        <v>40</v>
      </c>
      <c r="W122" s="38" t="s">
        <v>621</v>
      </c>
      <c r="X122" s="30" t="s">
        <v>639</v>
      </c>
      <c r="Y122" s="30" t="s">
        <v>628</v>
      </c>
    </row>
    <row r="123" ht="42.0" customHeight="1" outlineLevel="1">
      <c r="A123" s="38" t="s">
        <v>640</v>
      </c>
      <c r="B123" s="30" t="s">
        <v>617</v>
      </c>
      <c r="C123" s="30" t="s">
        <v>641</v>
      </c>
      <c r="D123" s="30" t="s">
        <v>642</v>
      </c>
      <c r="E123" s="38" t="s">
        <v>45</v>
      </c>
      <c r="F123" s="38" t="s">
        <v>137</v>
      </c>
      <c r="G123" s="39">
        <v>46337.0</v>
      </c>
      <c r="H123" s="39">
        <v>46339.0</v>
      </c>
      <c r="I123" s="38">
        <v>3.0</v>
      </c>
      <c r="J123" s="30"/>
      <c r="K123" s="30"/>
      <c r="L123" s="30"/>
      <c r="M123" s="30"/>
      <c r="N123" s="30"/>
      <c r="O123" s="30"/>
      <c r="P123" s="30"/>
      <c r="Q123" s="30"/>
      <c r="R123" s="30"/>
      <c r="S123" s="30"/>
      <c r="T123" s="30"/>
      <c r="U123" s="30"/>
      <c r="V123" s="38" t="s">
        <v>40</v>
      </c>
      <c r="W123" s="38" t="s">
        <v>643</v>
      </c>
      <c r="X123" s="30" t="s">
        <v>644</v>
      </c>
      <c r="Y123" s="30" t="s">
        <v>628</v>
      </c>
    </row>
    <row r="124" ht="42.0" customHeight="1" outlineLevel="1">
      <c r="A124" s="38" t="s">
        <v>645</v>
      </c>
      <c r="B124" s="30" t="s">
        <v>617</v>
      </c>
      <c r="C124" s="30" t="s">
        <v>646</v>
      </c>
      <c r="D124" s="30" t="s">
        <v>543</v>
      </c>
      <c r="E124" s="38" t="s">
        <v>37</v>
      </c>
      <c r="F124" s="38" t="s">
        <v>32</v>
      </c>
      <c r="G124" s="39">
        <v>46321.0</v>
      </c>
      <c r="H124" s="39">
        <v>46332.0</v>
      </c>
      <c r="I124" s="38">
        <v>10.0</v>
      </c>
      <c r="J124" s="30"/>
      <c r="K124" s="30"/>
      <c r="L124" s="30"/>
      <c r="M124" s="30"/>
      <c r="N124" s="30"/>
      <c r="O124" s="30"/>
      <c r="P124" s="30"/>
      <c r="Q124" s="30"/>
      <c r="R124" s="30"/>
      <c r="S124" s="30"/>
      <c r="T124" s="30"/>
      <c r="U124" s="30"/>
      <c r="V124" s="38" t="s">
        <v>40</v>
      </c>
      <c r="W124" s="38" t="s">
        <v>257</v>
      </c>
      <c r="X124" s="30"/>
      <c r="Y124" s="30" t="s">
        <v>652</v>
      </c>
    </row>
    <row r="125" ht="54.75" customHeight="1" outlineLevel="1">
      <c r="A125" s="38" t="s">
        <v>653</v>
      </c>
      <c r="B125" s="30" t="s">
        <v>617</v>
      </c>
      <c r="C125" s="30" t="s">
        <v>654</v>
      </c>
      <c r="D125" s="30" t="s">
        <v>146</v>
      </c>
      <c r="E125" s="38" t="s">
        <v>37</v>
      </c>
      <c r="F125" s="38" t="s">
        <v>32</v>
      </c>
      <c r="G125" s="39">
        <v>46321.0</v>
      </c>
      <c r="H125" s="39">
        <v>46337.0</v>
      </c>
      <c r="I125" s="38">
        <v>11.0</v>
      </c>
      <c r="J125" s="30"/>
      <c r="K125" s="30"/>
      <c r="L125" s="30"/>
      <c r="M125" s="30"/>
      <c r="N125" s="30"/>
      <c r="O125" s="30"/>
      <c r="P125" s="30"/>
      <c r="Q125" s="30"/>
      <c r="R125" s="30"/>
      <c r="S125" s="30"/>
      <c r="T125" s="30"/>
      <c r="U125" s="30"/>
      <c r="V125" s="38" t="s">
        <v>40</v>
      </c>
      <c r="W125" s="38" t="s">
        <v>595</v>
      </c>
      <c r="X125" s="30" t="s">
        <v>657</v>
      </c>
      <c r="Y125" s="30"/>
    </row>
    <row r="126" ht="42.0" customHeight="1" outlineLevel="1">
      <c r="A126" s="38" t="s">
        <v>658</v>
      </c>
      <c r="B126" s="30" t="s">
        <v>617</v>
      </c>
      <c r="C126" s="30" t="s">
        <v>659</v>
      </c>
      <c r="D126" s="30" t="s">
        <v>146</v>
      </c>
      <c r="E126" s="38" t="s">
        <v>37</v>
      </c>
      <c r="F126" s="38" t="s">
        <v>137</v>
      </c>
      <c r="G126" s="39">
        <v>46321.0</v>
      </c>
      <c r="H126" s="39">
        <v>46332.0</v>
      </c>
      <c r="I126" s="38">
        <v>10.0</v>
      </c>
      <c r="J126" s="30"/>
      <c r="K126" s="30"/>
      <c r="L126" s="30"/>
      <c r="M126" s="30"/>
      <c r="N126" s="30"/>
      <c r="O126" s="30"/>
      <c r="P126" s="30"/>
      <c r="Q126" s="30"/>
      <c r="R126" s="30"/>
      <c r="S126" s="30"/>
      <c r="T126" s="30"/>
      <c r="U126" s="30"/>
      <c r="V126" s="38" t="s">
        <v>40</v>
      </c>
      <c r="W126" s="38"/>
      <c r="X126" s="30"/>
      <c r="Y126" s="30" t="s">
        <v>660</v>
      </c>
    </row>
    <row r="127" ht="28.5" customHeight="1" outlineLevel="1">
      <c r="A127" s="38" t="s">
        <v>661</v>
      </c>
      <c r="B127" s="30" t="s">
        <v>617</v>
      </c>
      <c r="C127" s="30" t="s">
        <v>662</v>
      </c>
      <c r="D127" s="30" t="s">
        <v>146</v>
      </c>
      <c r="E127" s="38" t="s">
        <v>45</v>
      </c>
      <c r="F127" s="38" t="s">
        <v>32</v>
      </c>
      <c r="G127" s="39">
        <v>46321.0</v>
      </c>
      <c r="H127" s="39">
        <v>46332.0</v>
      </c>
      <c r="I127" s="38">
        <v>10.0</v>
      </c>
      <c r="J127" s="30"/>
      <c r="K127" s="30"/>
      <c r="L127" s="30"/>
      <c r="M127" s="30"/>
      <c r="N127" s="30"/>
      <c r="O127" s="30"/>
      <c r="P127" s="30"/>
      <c r="Q127" s="30"/>
      <c r="R127" s="30"/>
      <c r="S127" s="30"/>
      <c r="T127" s="30"/>
      <c r="U127" s="30"/>
      <c r="V127" s="38" t="s">
        <v>40</v>
      </c>
      <c r="W127" s="38" t="s">
        <v>621</v>
      </c>
      <c r="X127" s="30" t="s">
        <v>672</v>
      </c>
      <c r="Y127" s="30"/>
    </row>
    <row r="128" ht="54.75" customHeight="1" outlineLevel="1">
      <c r="A128" s="38" t="s">
        <v>673</v>
      </c>
      <c r="B128" s="30" t="s">
        <v>617</v>
      </c>
      <c r="C128" s="30" t="s">
        <v>674</v>
      </c>
      <c r="D128" s="30" t="s">
        <v>146</v>
      </c>
      <c r="E128" s="38" t="s">
        <v>37</v>
      </c>
      <c r="F128" s="38" t="s">
        <v>137</v>
      </c>
      <c r="G128" s="39">
        <v>46328.0</v>
      </c>
      <c r="H128" s="39">
        <v>46339.0</v>
      </c>
      <c r="I128" s="38">
        <v>8.0</v>
      </c>
      <c r="J128" s="30"/>
      <c r="K128" s="30"/>
      <c r="L128" s="30"/>
      <c r="M128" s="30"/>
      <c r="N128" s="30"/>
      <c r="O128" s="30"/>
      <c r="P128" s="30"/>
      <c r="Q128" s="30"/>
      <c r="R128" s="30"/>
      <c r="S128" s="30"/>
      <c r="T128" s="30"/>
      <c r="U128" s="30"/>
      <c r="V128" s="38" t="s">
        <v>40</v>
      </c>
      <c r="W128" s="38"/>
      <c r="X128" s="30" t="s">
        <v>709</v>
      </c>
      <c r="Y128" s="30"/>
    </row>
    <row r="129" ht="28.5" customHeight="1" outlineLevel="1">
      <c r="A129" s="38" t="s">
        <v>710</v>
      </c>
      <c r="B129" s="30" t="s">
        <v>617</v>
      </c>
      <c r="C129" s="30" t="s">
        <v>711</v>
      </c>
      <c r="D129" s="30" t="s">
        <v>146</v>
      </c>
      <c r="E129" s="38" t="s">
        <v>55</v>
      </c>
      <c r="F129" s="38" t="s">
        <v>32</v>
      </c>
      <c r="G129" s="39">
        <v>46337.0</v>
      </c>
      <c r="H129" s="39">
        <v>46351.0</v>
      </c>
      <c r="I129" s="38">
        <v>10.0</v>
      </c>
      <c r="J129" s="30"/>
      <c r="K129" s="30"/>
      <c r="L129" s="30"/>
      <c r="M129" s="30"/>
      <c r="N129" s="30"/>
      <c r="O129" s="30"/>
      <c r="P129" s="30"/>
      <c r="Q129" s="30"/>
      <c r="R129" s="30"/>
      <c r="S129" s="30"/>
      <c r="T129" s="30"/>
      <c r="U129" s="30"/>
      <c r="V129" s="38" t="s">
        <v>40</v>
      </c>
      <c r="W129" s="38" t="s">
        <v>715</v>
      </c>
      <c r="X129" s="30"/>
      <c r="Y129" s="30"/>
    </row>
    <row r="130" ht="28.5" customHeight="1" outlineLevel="1">
      <c r="A130" s="38" t="s">
        <v>91</v>
      </c>
      <c r="B130" s="30" t="s">
        <v>617</v>
      </c>
      <c r="C130" s="30" t="s">
        <v>716</v>
      </c>
      <c r="D130" s="30" t="s">
        <v>146</v>
      </c>
      <c r="E130" s="38" t="s">
        <v>55</v>
      </c>
      <c r="F130" s="38" t="s">
        <v>32</v>
      </c>
      <c r="G130" s="39">
        <v>46352.0</v>
      </c>
      <c r="H130" s="39">
        <v>46353.0</v>
      </c>
      <c r="I130" s="38">
        <v>2.0</v>
      </c>
      <c r="J130" s="30"/>
      <c r="K130" s="30"/>
      <c r="L130" s="30"/>
      <c r="M130" s="30"/>
      <c r="N130" s="30"/>
      <c r="O130" s="30"/>
      <c r="P130" s="30"/>
      <c r="Q130" s="30"/>
      <c r="R130" s="30"/>
      <c r="S130" s="30"/>
      <c r="T130" s="30"/>
      <c r="U130" s="30"/>
      <c r="V130" s="38" t="s">
        <v>40</v>
      </c>
      <c r="W130" s="38" t="s">
        <v>710</v>
      </c>
      <c r="X130" s="30"/>
      <c r="Y130" s="30" t="s">
        <v>723</v>
      </c>
    </row>
    <row r="131" ht="19.5" customHeight="1">
      <c r="A131" s="15" t="s">
        <v>724</v>
      </c>
      <c r="B131" s="15" t="s">
        <v>725</v>
      </c>
      <c r="C131" s="15"/>
      <c r="D131" s="15"/>
      <c r="E131" s="15"/>
      <c r="F131" s="15"/>
      <c r="G131" s="36">
        <v>46317.0</v>
      </c>
      <c r="H131" s="36">
        <v>46339.0</v>
      </c>
      <c r="I131" s="37">
        <v>15.0</v>
      </c>
      <c r="J131" s="15"/>
      <c r="K131" s="15"/>
      <c r="L131" s="15"/>
      <c r="M131" s="15"/>
      <c r="N131" s="15"/>
      <c r="O131" s="15"/>
      <c r="P131" s="15"/>
      <c r="Q131" s="15"/>
      <c r="R131" s="15"/>
      <c r="S131" s="15"/>
      <c r="T131" s="15"/>
      <c r="U131" s="15"/>
      <c r="V131" s="15"/>
      <c r="W131" s="15"/>
      <c r="X131" s="15"/>
      <c r="Y131" s="15"/>
    </row>
    <row r="132" ht="42.0" customHeight="1" outlineLevel="1">
      <c r="A132" s="38" t="s">
        <v>728</v>
      </c>
      <c r="B132" s="30" t="s">
        <v>729</v>
      </c>
      <c r="C132" s="30" t="s">
        <v>730</v>
      </c>
      <c r="D132" s="30" t="s">
        <v>146</v>
      </c>
      <c r="E132" s="38" t="s">
        <v>37</v>
      </c>
      <c r="F132" s="38" t="s">
        <v>32</v>
      </c>
      <c r="G132" s="39">
        <v>46317.0</v>
      </c>
      <c r="H132" s="39">
        <v>46332.0</v>
      </c>
      <c r="I132" s="38">
        <v>12.0</v>
      </c>
      <c r="J132" s="30"/>
      <c r="K132" s="30"/>
      <c r="L132" s="30"/>
      <c r="M132" s="30"/>
      <c r="N132" s="30"/>
      <c r="O132" s="30"/>
      <c r="P132" s="30"/>
      <c r="Q132" s="30"/>
      <c r="R132" s="30"/>
      <c r="S132" s="30"/>
      <c r="T132" s="30"/>
      <c r="U132" s="30"/>
      <c r="V132" s="38" t="s">
        <v>40</v>
      </c>
      <c r="W132" s="38" t="s">
        <v>257</v>
      </c>
      <c r="X132" s="30" t="s">
        <v>732</v>
      </c>
      <c r="Y132" s="30"/>
    </row>
    <row r="133" ht="28.5" customHeight="1" outlineLevel="1">
      <c r="A133" s="38" t="s">
        <v>734</v>
      </c>
      <c r="B133" s="30" t="s">
        <v>729</v>
      </c>
      <c r="C133" s="30" t="s">
        <v>737</v>
      </c>
      <c r="D133" s="30" t="s">
        <v>146</v>
      </c>
      <c r="E133" s="38" t="s">
        <v>45</v>
      </c>
      <c r="F133" s="38" t="s">
        <v>32</v>
      </c>
      <c r="G133" s="39">
        <v>46328.0</v>
      </c>
      <c r="H133" s="39">
        <v>46339.0</v>
      </c>
      <c r="I133" s="38">
        <v>8.0</v>
      </c>
      <c r="J133" s="30"/>
      <c r="K133" s="30"/>
      <c r="L133" s="30"/>
      <c r="M133" s="30"/>
      <c r="N133" s="30"/>
      <c r="O133" s="30"/>
      <c r="P133" s="30"/>
      <c r="Q133" s="30"/>
      <c r="R133" s="30"/>
      <c r="S133" s="30"/>
      <c r="T133" s="30"/>
      <c r="U133" s="30"/>
      <c r="V133" s="38" t="s">
        <v>40</v>
      </c>
      <c r="W133" s="38" t="s">
        <v>728</v>
      </c>
      <c r="X133" s="30" t="s">
        <v>743</v>
      </c>
      <c r="Y133" s="30"/>
    </row>
    <row r="134" ht="42.0" customHeight="1" outlineLevel="1">
      <c r="A134" s="38" t="s">
        <v>744</v>
      </c>
      <c r="B134" s="30" t="s">
        <v>729</v>
      </c>
      <c r="C134" s="30" t="s">
        <v>745</v>
      </c>
      <c r="D134" s="30" t="s">
        <v>146</v>
      </c>
      <c r="E134" s="38" t="s">
        <v>37</v>
      </c>
      <c r="F134" s="38" t="s">
        <v>137</v>
      </c>
      <c r="G134" s="39">
        <v>46321.0</v>
      </c>
      <c r="H134" s="39">
        <v>46337.0</v>
      </c>
      <c r="I134" s="38">
        <v>11.0</v>
      </c>
      <c r="J134" s="30"/>
      <c r="K134" s="30"/>
      <c r="L134" s="30"/>
      <c r="M134" s="30"/>
      <c r="N134" s="30"/>
      <c r="O134" s="30"/>
      <c r="P134" s="30"/>
      <c r="Q134" s="30"/>
      <c r="R134" s="30"/>
      <c r="S134" s="30"/>
      <c r="T134" s="30"/>
      <c r="U134" s="30"/>
      <c r="V134" s="38" t="s">
        <v>40</v>
      </c>
      <c r="W134" s="38" t="s">
        <v>734</v>
      </c>
      <c r="X134" s="30"/>
      <c r="Y134" s="30"/>
    </row>
    <row r="135" ht="28.5" customHeight="1" outlineLevel="1">
      <c r="A135" s="38" t="s">
        <v>746</v>
      </c>
      <c r="B135" s="30" t="s">
        <v>729</v>
      </c>
      <c r="C135" s="30" t="s">
        <v>747</v>
      </c>
      <c r="D135" s="30" t="s">
        <v>146</v>
      </c>
      <c r="E135" s="38" t="s">
        <v>45</v>
      </c>
      <c r="F135" s="38" t="s">
        <v>137</v>
      </c>
      <c r="G135" s="39">
        <v>46337.0</v>
      </c>
      <c r="H135" s="39">
        <v>46339.0</v>
      </c>
      <c r="I135" s="38">
        <v>3.0</v>
      </c>
      <c r="J135" s="30"/>
      <c r="K135" s="30"/>
      <c r="L135" s="30"/>
      <c r="M135" s="30"/>
      <c r="N135" s="30"/>
      <c r="O135" s="30"/>
      <c r="P135" s="30"/>
      <c r="Q135" s="30"/>
      <c r="R135" s="30"/>
      <c r="S135" s="30"/>
      <c r="T135" s="30"/>
      <c r="U135" s="30"/>
      <c r="V135" s="38" t="s">
        <v>40</v>
      </c>
      <c r="W135" s="38" t="s">
        <v>270</v>
      </c>
      <c r="X135" s="30"/>
      <c r="Y135" s="30"/>
    </row>
    <row r="136" ht="28.5" customHeight="1" outlineLevel="1">
      <c r="A136" s="38" t="s">
        <v>755</v>
      </c>
      <c r="B136" s="30" t="s">
        <v>642</v>
      </c>
      <c r="C136" s="30" t="s">
        <v>766</v>
      </c>
      <c r="D136" s="30" t="s">
        <v>146</v>
      </c>
      <c r="E136" s="38" t="s">
        <v>37</v>
      </c>
      <c r="F136" s="38" t="s">
        <v>164</v>
      </c>
      <c r="G136" s="39">
        <v>46328.0</v>
      </c>
      <c r="H136" s="39">
        <v>46339.0</v>
      </c>
      <c r="I136" s="38">
        <v>8.0</v>
      </c>
      <c r="J136" s="30"/>
      <c r="K136" s="30"/>
      <c r="L136" s="30"/>
      <c r="M136" s="30"/>
      <c r="N136" s="30"/>
      <c r="O136" s="30"/>
      <c r="P136" s="30"/>
      <c r="Q136" s="30"/>
      <c r="R136" s="30"/>
      <c r="S136" s="30"/>
      <c r="T136" s="30"/>
      <c r="U136" s="30"/>
      <c r="V136" s="38" t="s">
        <v>40</v>
      </c>
      <c r="W136" s="38" t="s">
        <v>734</v>
      </c>
      <c r="X136" s="30" t="s">
        <v>767</v>
      </c>
      <c r="Y136" s="30" t="s">
        <v>768</v>
      </c>
    </row>
    <row r="137" ht="42.0" customHeight="1" outlineLevel="1">
      <c r="A137" s="38" t="s">
        <v>769</v>
      </c>
      <c r="B137" s="30" t="s">
        <v>770</v>
      </c>
      <c r="C137" s="30" t="s">
        <v>771</v>
      </c>
      <c r="D137" s="30" t="s">
        <v>146</v>
      </c>
      <c r="E137" s="38" t="s">
        <v>37</v>
      </c>
      <c r="F137" s="38" t="s">
        <v>137</v>
      </c>
      <c r="G137" s="39">
        <v>46328.0</v>
      </c>
      <c r="H137" s="39">
        <v>46337.0</v>
      </c>
      <c r="I137" s="38">
        <v>6.0</v>
      </c>
      <c r="J137" s="30"/>
      <c r="K137" s="30"/>
      <c r="L137" s="30"/>
      <c r="M137" s="30"/>
      <c r="N137" s="30"/>
      <c r="O137" s="30"/>
      <c r="P137" s="30"/>
      <c r="Q137" s="30"/>
      <c r="R137" s="30"/>
      <c r="S137" s="30"/>
      <c r="T137" s="30"/>
      <c r="U137" s="30"/>
      <c r="V137" s="38" t="s">
        <v>40</v>
      </c>
      <c r="W137" s="38" t="s">
        <v>273</v>
      </c>
      <c r="X137" s="30"/>
      <c r="Y137" s="30"/>
    </row>
    <row r="138" ht="19.5" customHeight="1">
      <c r="A138" s="15" t="s">
        <v>777</v>
      </c>
      <c r="B138" s="15" t="s">
        <v>778</v>
      </c>
      <c r="C138" s="15"/>
      <c r="D138" s="15"/>
      <c r="E138" s="15"/>
      <c r="F138" s="15"/>
      <c r="G138" s="36">
        <v>46310.0</v>
      </c>
      <c r="H138" s="36">
        <v>46358.0</v>
      </c>
      <c r="I138" s="37">
        <v>31.0</v>
      </c>
      <c r="J138" s="15"/>
      <c r="K138" s="15"/>
      <c r="L138" s="15"/>
      <c r="M138" s="15"/>
      <c r="N138" s="15"/>
      <c r="O138" s="15"/>
      <c r="P138" s="15"/>
      <c r="Q138" s="15"/>
      <c r="R138" s="15"/>
      <c r="S138" s="15"/>
      <c r="T138" s="15"/>
      <c r="U138" s="15"/>
      <c r="V138" s="15"/>
      <c r="W138" s="15"/>
      <c r="X138" s="15"/>
      <c r="Y138" s="15"/>
    </row>
    <row r="139" ht="28.5" customHeight="1" outlineLevel="1">
      <c r="A139" s="38" t="s">
        <v>782</v>
      </c>
      <c r="B139" s="30" t="s">
        <v>783</v>
      </c>
      <c r="C139" s="30" t="s">
        <v>784</v>
      </c>
      <c r="D139" s="30" t="s">
        <v>146</v>
      </c>
      <c r="E139" s="38" t="s">
        <v>45</v>
      </c>
      <c r="F139" s="38" t="s">
        <v>137</v>
      </c>
      <c r="G139" s="39">
        <v>46310.0</v>
      </c>
      <c r="H139" s="39">
        <v>46316.0</v>
      </c>
      <c r="I139" s="38">
        <v>4.0</v>
      </c>
      <c r="J139" s="30"/>
      <c r="K139" s="30"/>
      <c r="L139" s="30"/>
      <c r="M139" s="30"/>
      <c r="N139" s="30"/>
      <c r="O139" s="30"/>
      <c r="P139" s="30"/>
      <c r="Q139" s="30"/>
      <c r="R139" s="30"/>
      <c r="S139" s="30"/>
      <c r="T139" s="30"/>
      <c r="U139" s="30"/>
      <c r="V139" s="38" t="s">
        <v>40</v>
      </c>
      <c r="W139" s="38" t="s">
        <v>162</v>
      </c>
      <c r="X139" s="30" t="s">
        <v>792</v>
      </c>
      <c r="Y139" s="30"/>
    </row>
    <row r="140" ht="28.5" customHeight="1" outlineLevel="1">
      <c r="A140" s="38" t="s">
        <v>793</v>
      </c>
      <c r="B140" s="30" t="s">
        <v>783</v>
      </c>
      <c r="C140" s="30" t="s">
        <v>794</v>
      </c>
      <c r="D140" s="30" t="s">
        <v>146</v>
      </c>
      <c r="E140" s="38" t="s">
        <v>55</v>
      </c>
      <c r="F140" s="38" t="s">
        <v>137</v>
      </c>
      <c r="G140" s="39">
        <v>46317.0</v>
      </c>
      <c r="H140" s="39">
        <v>46325.0</v>
      </c>
      <c r="I140" s="38">
        <v>7.0</v>
      </c>
      <c r="J140" s="30"/>
      <c r="K140" s="30"/>
      <c r="L140" s="30"/>
      <c r="M140" s="30"/>
      <c r="N140" s="30"/>
      <c r="O140" s="30"/>
      <c r="P140" s="30"/>
      <c r="Q140" s="30"/>
      <c r="R140" s="30"/>
      <c r="S140" s="30"/>
      <c r="T140" s="30"/>
      <c r="U140" s="30"/>
      <c r="V140" s="38" t="s">
        <v>40</v>
      </c>
      <c r="W140" s="38" t="s">
        <v>782</v>
      </c>
      <c r="X140" s="30"/>
      <c r="Y140" s="30" t="s">
        <v>795</v>
      </c>
    </row>
    <row r="141" ht="15.75" customHeight="1" outlineLevel="1">
      <c r="A141" s="38" t="s">
        <v>796</v>
      </c>
      <c r="B141" s="30" t="s">
        <v>783</v>
      </c>
      <c r="C141" s="30" t="s">
        <v>798</v>
      </c>
      <c r="D141" s="30" t="s">
        <v>146</v>
      </c>
      <c r="E141" s="38" t="s">
        <v>37</v>
      </c>
      <c r="F141" s="38" t="s">
        <v>137</v>
      </c>
      <c r="G141" s="39">
        <v>46328.0</v>
      </c>
      <c r="H141" s="39">
        <v>46339.0</v>
      </c>
      <c r="I141" s="38">
        <v>8.0</v>
      </c>
      <c r="J141" s="30"/>
      <c r="K141" s="30"/>
      <c r="L141" s="30"/>
      <c r="M141" s="30"/>
      <c r="N141" s="30"/>
      <c r="O141" s="30"/>
      <c r="P141" s="30"/>
      <c r="Q141" s="30"/>
      <c r="R141" s="30"/>
      <c r="S141" s="30"/>
      <c r="T141" s="30"/>
      <c r="U141" s="30"/>
      <c r="V141" s="38" t="s">
        <v>40</v>
      </c>
      <c r="W141" s="38" t="s">
        <v>793</v>
      </c>
      <c r="X141" s="30"/>
      <c r="Y141" s="30"/>
    </row>
    <row r="142" ht="28.5" customHeight="1" outlineLevel="1">
      <c r="A142" s="38" t="s">
        <v>806</v>
      </c>
      <c r="B142" s="30" t="s">
        <v>783</v>
      </c>
      <c r="C142" s="30" t="s">
        <v>807</v>
      </c>
      <c r="D142" s="30" t="s">
        <v>146</v>
      </c>
      <c r="E142" s="38" t="s">
        <v>45</v>
      </c>
      <c r="F142" s="38" t="s">
        <v>137</v>
      </c>
      <c r="G142" s="39">
        <v>46342.0</v>
      </c>
      <c r="H142" s="39">
        <v>46346.0</v>
      </c>
      <c r="I142" s="38">
        <v>5.0</v>
      </c>
      <c r="J142" s="30"/>
      <c r="K142" s="30"/>
      <c r="L142" s="30"/>
      <c r="M142" s="30"/>
      <c r="N142" s="30"/>
      <c r="O142" s="30"/>
      <c r="P142" s="30"/>
      <c r="Q142" s="30"/>
      <c r="R142" s="30"/>
      <c r="S142" s="30"/>
      <c r="T142" s="30"/>
      <c r="U142" s="30"/>
      <c r="V142" s="38" t="s">
        <v>40</v>
      </c>
      <c r="W142" s="38" t="s">
        <v>796</v>
      </c>
      <c r="X142" s="30"/>
      <c r="Y142" s="30"/>
    </row>
    <row r="143" ht="15.75" customHeight="1" outlineLevel="1">
      <c r="A143" s="38" t="s">
        <v>808</v>
      </c>
      <c r="B143" s="30" t="s">
        <v>783</v>
      </c>
      <c r="C143" s="30" t="s">
        <v>809</v>
      </c>
      <c r="D143" s="30" t="s">
        <v>146</v>
      </c>
      <c r="E143" s="38" t="s">
        <v>55</v>
      </c>
      <c r="F143" s="38" t="s">
        <v>137</v>
      </c>
      <c r="G143" s="39">
        <v>46349.0</v>
      </c>
      <c r="H143" s="39">
        <v>46351.0</v>
      </c>
      <c r="I143" s="38">
        <v>2.0</v>
      </c>
      <c r="J143" s="30"/>
      <c r="K143" s="30"/>
      <c r="L143" s="30"/>
      <c r="M143" s="30"/>
      <c r="N143" s="30"/>
      <c r="O143" s="30"/>
      <c r="P143" s="30"/>
      <c r="Q143" s="30"/>
      <c r="R143" s="30"/>
      <c r="S143" s="30"/>
      <c r="T143" s="30"/>
      <c r="U143" s="30"/>
      <c r="V143" s="38" t="s">
        <v>40</v>
      </c>
      <c r="W143" s="38" t="s">
        <v>806</v>
      </c>
      <c r="X143" s="30"/>
      <c r="Y143" s="30"/>
    </row>
    <row r="144" ht="15.75" customHeight="1" outlineLevel="1">
      <c r="A144" s="38" t="s">
        <v>816</v>
      </c>
      <c r="B144" s="30" t="s">
        <v>783</v>
      </c>
      <c r="C144" s="30" t="s">
        <v>817</v>
      </c>
      <c r="D144" s="30" t="s">
        <v>210</v>
      </c>
      <c r="E144" s="38" t="s">
        <v>37</v>
      </c>
      <c r="F144" s="38" t="s">
        <v>137</v>
      </c>
      <c r="G144" s="39">
        <v>46357.0</v>
      </c>
      <c r="H144" s="39">
        <v>46358.0</v>
      </c>
      <c r="I144" s="38">
        <v>2.0</v>
      </c>
      <c r="J144" s="30"/>
      <c r="K144" s="30"/>
      <c r="L144" s="30"/>
      <c r="M144" s="30"/>
      <c r="N144" s="30"/>
      <c r="O144" s="30"/>
      <c r="P144" s="30"/>
      <c r="Q144" s="30"/>
      <c r="R144" s="30"/>
      <c r="S144" s="30"/>
      <c r="T144" s="30"/>
      <c r="U144" s="30"/>
      <c r="V144" s="38" t="s">
        <v>40</v>
      </c>
      <c r="W144" s="38" t="s">
        <v>820</v>
      </c>
      <c r="X144" s="30"/>
      <c r="Y144" s="30"/>
    </row>
    <row r="145" ht="19.5" customHeight="1">
      <c r="A145" s="15" t="s">
        <v>821</v>
      </c>
      <c r="B145" s="15" t="s">
        <v>822</v>
      </c>
      <c r="C145" s="15"/>
      <c r="D145" s="15"/>
      <c r="E145" s="15"/>
      <c r="F145" s="15"/>
      <c r="G145" s="36">
        <v>46310.0</v>
      </c>
      <c r="H145" s="36">
        <v>46353.0</v>
      </c>
      <c r="I145" s="37">
        <v>28.0</v>
      </c>
      <c r="J145" s="15"/>
      <c r="K145" s="15"/>
      <c r="L145" s="15"/>
      <c r="M145" s="15"/>
      <c r="N145" s="15"/>
      <c r="O145" s="15"/>
      <c r="P145" s="15"/>
      <c r="Q145" s="15"/>
      <c r="R145" s="15"/>
      <c r="S145" s="15"/>
      <c r="T145" s="15"/>
      <c r="U145" s="15"/>
      <c r="V145" s="15"/>
      <c r="W145" s="15"/>
      <c r="X145" s="15"/>
      <c r="Y145" s="15"/>
    </row>
    <row r="146" ht="28.5" customHeight="1" outlineLevel="1">
      <c r="A146" s="38" t="s">
        <v>823</v>
      </c>
      <c r="B146" s="30" t="s">
        <v>244</v>
      </c>
      <c r="C146" s="30" t="s">
        <v>824</v>
      </c>
      <c r="D146" s="30" t="s">
        <v>150</v>
      </c>
      <c r="E146" s="38" t="s">
        <v>37</v>
      </c>
      <c r="F146" s="38" t="s">
        <v>32</v>
      </c>
      <c r="G146" s="39">
        <v>46310.0</v>
      </c>
      <c r="H146" s="39">
        <v>46322.0</v>
      </c>
      <c r="I146" s="38">
        <v>8.0</v>
      </c>
      <c r="J146" s="30"/>
      <c r="K146" s="30"/>
      <c r="L146" s="30"/>
      <c r="M146" s="30"/>
      <c r="N146" s="30"/>
      <c r="O146" s="30"/>
      <c r="P146" s="30"/>
      <c r="Q146" s="30"/>
      <c r="R146" s="30"/>
      <c r="S146" s="30"/>
      <c r="T146" s="30"/>
      <c r="U146" s="30"/>
      <c r="V146" s="38" t="s">
        <v>40</v>
      </c>
      <c r="W146" s="38" t="s">
        <v>151</v>
      </c>
      <c r="X146" s="30"/>
      <c r="Y146" s="30"/>
    </row>
    <row r="147" ht="28.5" customHeight="1" outlineLevel="1">
      <c r="A147" s="38" t="s">
        <v>832</v>
      </c>
      <c r="B147" s="30" t="s">
        <v>244</v>
      </c>
      <c r="C147" s="30" t="s">
        <v>834</v>
      </c>
      <c r="D147" s="30" t="s">
        <v>150</v>
      </c>
      <c r="E147" s="38" t="s">
        <v>37</v>
      </c>
      <c r="F147" s="38" t="s">
        <v>32</v>
      </c>
      <c r="G147" s="39">
        <v>46323.0</v>
      </c>
      <c r="H147" s="39">
        <v>46332.0</v>
      </c>
      <c r="I147" s="38">
        <v>8.0</v>
      </c>
      <c r="J147" s="30"/>
      <c r="K147" s="30"/>
      <c r="L147" s="30"/>
      <c r="M147" s="30"/>
      <c r="N147" s="30"/>
      <c r="O147" s="30"/>
      <c r="P147" s="30"/>
      <c r="Q147" s="30"/>
      <c r="R147" s="30"/>
      <c r="S147" s="30"/>
      <c r="T147" s="30"/>
      <c r="U147" s="30"/>
      <c r="V147" s="38" t="s">
        <v>40</v>
      </c>
      <c r="W147" s="38" t="s">
        <v>823</v>
      </c>
      <c r="X147" s="30"/>
      <c r="Y147" s="30"/>
    </row>
    <row r="148" ht="28.5" customHeight="1" outlineLevel="1">
      <c r="A148" s="38" t="s">
        <v>835</v>
      </c>
      <c r="B148" s="30" t="s">
        <v>244</v>
      </c>
      <c r="C148" s="30" t="s">
        <v>836</v>
      </c>
      <c r="D148" s="30" t="s">
        <v>150</v>
      </c>
      <c r="E148" s="38" t="s">
        <v>45</v>
      </c>
      <c r="F148" s="38" t="s">
        <v>137</v>
      </c>
      <c r="G148" s="39">
        <v>46330.0</v>
      </c>
      <c r="H148" s="39">
        <v>46332.0</v>
      </c>
      <c r="I148" s="38">
        <v>3.0</v>
      </c>
      <c r="J148" s="30"/>
      <c r="K148" s="30"/>
      <c r="L148" s="30"/>
      <c r="M148" s="30"/>
      <c r="N148" s="30"/>
      <c r="O148" s="30"/>
      <c r="P148" s="30"/>
      <c r="Q148" s="30"/>
      <c r="R148" s="30"/>
      <c r="S148" s="30"/>
      <c r="T148" s="30"/>
      <c r="U148" s="30"/>
      <c r="V148" s="38" t="s">
        <v>40</v>
      </c>
      <c r="W148" s="38" t="s">
        <v>832</v>
      </c>
      <c r="X148" s="30"/>
      <c r="Y148" s="30" t="s">
        <v>843</v>
      </c>
    </row>
    <row r="149" ht="28.5" customHeight="1" outlineLevel="1">
      <c r="A149" s="38" t="s">
        <v>65</v>
      </c>
      <c r="B149" s="30" t="s">
        <v>244</v>
      </c>
      <c r="C149" s="30" t="s">
        <v>845</v>
      </c>
      <c r="D149" s="30" t="s">
        <v>150</v>
      </c>
      <c r="E149" s="38" t="s">
        <v>37</v>
      </c>
      <c r="F149" s="38" t="s">
        <v>32</v>
      </c>
      <c r="G149" s="39">
        <v>46332.0</v>
      </c>
      <c r="H149" s="39">
        <v>46332.0</v>
      </c>
      <c r="I149" s="38">
        <v>1.0</v>
      </c>
      <c r="J149" s="30"/>
      <c r="K149" s="30"/>
      <c r="L149" s="30"/>
      <c r="M149" s="30"/>
      <c r="N149" s="30"/>
      <c r="O149" s="30"/>
      <c r="P149" s="30"/>
      <c r="Q149" s="30"/>
      <c r="R149" s="30"/>
      <c r="S149" s="30"/>
      <c r="T149" s="30"/>
      <c r="U149" s="30"/>
      <c r="V149" s="38" t="s">
        <v>40</v>
      </c>
      <c r="W149" s="38" t="s">
        <v>846</v>
      </c>
      <c r="X149" s="30"/>
      <c r="Y149" s="30" t="s">
        <v>66</v>
      </c>
    </row>
    <row r="150" ht="42.0" customHeight="1" outlineLevel="1">
      <c r="A150" s="38" t="s">
        <v>847</v>
      </c>
      <c r="B150" s="30" t="s">
        <v>244</v>
      </c>
      <c r="C150" s="30" t="s">
        <v>848</v>
      </c>
      <c r="D150" s="30" t="s">
        <v>150</v>
      </c>
      <c r="E150" s="38" t="s">
        <v>55</v>
      </c>
      <c r="F150" s="38" t="s">
        <v>32</v>
      </c>
      <c r="G150" s="39">
        <v>46337.0</v>
      </c>
      <c r="H150" s="39">
        <v>46344.0</v>
      </c>
      <c r="I150" s="38">
        <v>6.0</v>
      </c>
      <c r="J150" s="30"/>
      <c r="K150" s="30"/>
      <c r="L150" s="30"/>
      <c r="M150" s="30"/>
      <c r="N150" s="30"/>
      <c r="O150" s="30"/>
      <c r="P150" s="30"/>
      <c r="Q150" s="30"/>
      <c r="R150" s="30"/>
      <c r="S150" s="30"/>
      <c r="T150" s="30"/>
      <c r="U150" s="30"/>
      <c r="V150" s="38" t="s">
        <v>40</v>
      </c>
      <c r="W150" s="38" t="s">
        <v>65</v>
      </c>
      <c r="X150" s="30" t="s">
        <v>850</v>
      </c>
      <c r="Y150" s="30"/>
    </row>
    <row r="151" ht="28.5" customHeight="1" outlineLevel="1">
      <c r="A151" s="38" t="s">
        <v>851</v>
      </c>
      <c r="B151" s="30" t="s">
        <v>244</v>
      </c>
      <c r="C151" s="30" t="s">
        <v>852</v>
      </c>
      <c r="D151" s="30" t="s">
        <v>150</v>
      </c>
      <c r="E151" s="38" t="s">
        <v>37</v>
      </c>
      <c r="F151" s="38" t="s">
        <v>32</v>
      </c>
      <c r="G151" s="39">
        <v>46338.0</v>
      </c>
      <c r="H151" s="39">
        <v>46351.0</v>
      </c>
      <c r="I151" s="38">
        <v>9.0</v>
      </c>
      <c r="J151" s="30"/>
      <c r="K151" s="30"/>
      <c r="L151" s="30"/>
      <c r="M151" s="30"/>
      <c r="N151" s="30"/>
      <c r="O151" s="30"/>
      <c r="P151" s="30"/>
      <c r="Q151" s="30"/>
      <c r="R151" s="30"/>
      <c r="S151" s="30"/>
      <c r="T151" s="30"/>
      <c r="U151" s="30"/>
      <c r="V151" s="38" t="s">
        <v>40</v>
      </c>
      <c r="W151" s="38" t="s">
        <v>847</v>
      </c>
      <c r="X151" s="30"/>
      <c r="Y151" s="30"/>
    </row>
    <row r="152" ht="15.75" customHeight="1" outlineLevel="1">
      <c r="A152" s="38" t="s">
        <v>856</v>
      </c>
      <c r="B152" s="30" t="s">
        <v>244</v>
      </c>
      <c r="C152" s="30" t="s">
        <v>858</v>
      </c>
      <c r="D152" s="30" t="s">
        <v>150</v>
      </c>
      <c r="E152" s="38" t="s">
        <v>45</v>
      </c>
      <c r="F152" s="38" t="s">
        <v>32</v>
      </c>
      <c r="G152" s="39">
        <v>46345.0</v>
      </c>
      <c r="H152" s="39">
        <v>46351.0</v>
      </c>
      <c r="I152" s="38">
        <v>4.0</v>
      </c>
      <c r="J152" s="30"/>
      <c r="K152" s="30"/>
      <c r="L152" s="30"/>
      <c r="M152" s="30"/>
      <c r="N152" s="30"/>
      <c r="O152" s="30"/>
      <c r="P152" s="30"/>
      <c r="Q152" s="30"/>
      <c r="R152" s="30"/>
      <c r="S152" s="30"/>
      <c r="T152" s="30"/>
      <c r="U152" s="30"/>
      <c r="V152" s="38" t="s">
        <v>40</v>
      </c>
      <c r="W152" s="38" t="s">
        <v>851</v>
      </c>
      <c r="X152" s="30"/>
      <c r="Y152" s="30"/>
    </row>
    <row r="153" ht="28.5" customHeight="1" outlineLevel="1">
      <c r="A153" s="38" t="s">
        <v>859</v>
      </c>
      <c r="B153" s="30" t="s">
        <v>244</v>
      </c>
      <c r="C153" s="30" t="s">
        <v>861</v>
      </c>
      <c r="D153" s="30" t="s">
        <v>305</v>
      </c>
      <c r="E153" s="38" t="s">
        <v>70</v>
      </c>
      <c r="F153" s="38" t="s">
        <v>32</v>
      </c>
      <c r="G153" s="39">
        <v>46329.0</v>
      </c>
      <c r="H153" s="39">
        <v>46346.0</v>
      </c>
      <c r="I153" s="38">
        <v>12.0</v>
      </c>
      <c r="J153" s="30"/>
      <c r="K153" s="30"/>
      <c r="L153" s="30"/>
      <c r="M153" s="30"/>
      <c r="N153" s="30"/>
      <c r="O153" s="30"/>
      <c r="P153" s="30"/>
      <c r="Q153" s="30"/>
      <c r="R153" s="30"/>
      <c r="S153" s="30"/>
      <c r="T153" s="30"/>
      <c r="U153" s="30"/>
      <c r="V153" s="38" t="s">
        <v>40</v>
      </c>
      <c r="W153" s="38" t="s">
        <v>863</v>
      </c>
      <c r="X153" s="30"/>
      <c r="Y153" s="30"/>
    </row>
    <row r="154" ht="42.0" customHeight="1" outlineLevel="1">
      <c r="A154" s="38" t="s">
        <v>101</v>
      </c>
      <c r="B154" s="30" t="s">
        <v>244</v>
      </c>
      <c r="C154" s="30" t="s">
        <v>864</v>
      </c>
      <c r="D154" s="30" t="s">
        <v>150</v>
      </c>
      <c r="E154" s="38" t="s">
        <v>55</v>
      </c>
      <c r="F154" s="38" t="s">
        <v>32</v>
      </c>
      <c r="G154" s="39">
        <v>46352.0</v>
      </c>
      <c r="H154" s="39">
        <v>46353.0</v>
      </c>
      <c r="I154" s="38">
        <v>2.0</v>
      </c>
      <c r="J154" s="30"/>
      <c r="K154" s="30"/>
      <c r="L154" s="30"/>
      <c r="M154" s="30"/>
      <c r="N154" s="30"/>
      <c r="O154" s="30"/>
      <c r="P154" s="30"/>
      <c r="Q154" s="30"/>
      <c r="R154" s="30"/>
      <c r="S154" s="30"/>
      <c r="T154" s="30"/>
      <c r="U154" s="30"/>
      <c r="V154" s="38" t="s">
        <v>40</v>
      </c>
      <c r="W154" s="38" t="s">
        <v>865</v>
      </c>
      <c r="X154" s="30"/>
      <c r="Y154" s="30" t="s">
        <v>103</v>
      </c>
    </row>
    <row r="155" ht="19.5" customHeight="1">
      <c r="A155" s="15" t="s">
        <v>867</v>
      </c>
      <c r="B155" s="15" t="s">
        <v>868</v>
      </c>
      <c r="C155" s="15"/>
      <c r="D155" s="15"/>
      <c r="E155" s="15"/>
      <c r="F155" s="15"/>
      <c r="G155" s="36">
        <v>46321.0</v>
      </c>
      <c r="H155" s="36">
        <v>46358.0</v>
      </c>
      <c r="I155" s="37">
        <v>25.0</v>
      </c>
      <c r="J155" s="15"/>
      <c r="K155" s="15"/>
      <c r="L155" s="15"/>
      <c r="M155" s="15"/>
      <c r="N155" s="15"/>
      <c r="O155" s="15"/>
      <c r="P155" s="15"/>
      <c r="Q155" s="15"/>
      <c r="R155" s="15"/>
      <c r="S155" s="15"/>
      <c r="T155" s="15"/>
      <c r="U155" s="15"/>
      <c r="V155" s="15"/>
      <c r="W155" s="15"/>
      <c r="X155" s="15"/>
      <c r="Y155" s="15"/>
    </row>
    <row r="156" ht="28.5" customHeight="1" outlineLevel="1">
      <c r="A156" s="38" t="s">
        <v>874</v>
      </c>
      <c r="B156" s="30" t="s">
        <v>875</v>
      </c>
      <c r="C156" s="30" t="s">
        <v>876</v>
      </c>
      <c r="D156" s="30" t="s">
        <v>150</v>
      </c>
      <c r="E156" s="38" t="s">
        <v>37</v>
      </c>
      <c r="F156" s="38" t="s">
        <v>137</v>
      </c>
      <c r="G156" s="39">
        <v>46321.0</v>
      </c>
      <c r="H156" s="39">
        <v>46332.0</v>
      </c>
      <c r="I156" s="38">
        <v>10.0</v>
      </c>
      <c r="J156" s="30"/>
      <c r="K156" s="30"/>
      <c r="L156" s="30"/>
      <c r="M156" s="30"/>
      <c r="N156" s="30"/>
      <c r="O156" s="30"/>
      <c r="P156" s="30"/>
      <c r="Q156" s="30"/>
      <c r="R156" s="30"/>
      <c r="S156" s="30"/>
      <c r="T156" s="30"/>
      <c r="U156" s="30"/>
      <c r="V156" s="38" t="s">
        <v>40</v>
      </c>
      <c r="W156" s="38"/>
      <c r="X156" s="30"/>
      <c r="Y156" s="30"/>
    </row>
    <row r="157" ht="42.0" customHeight="1" outlineLevel="1">
      <c r="A157" s="38" t="s">
        <v>879</v>
      </c>
      <c r="B157" s="30" t="s">
        <v>880</v>
      </c>
      <c r="C157" s="30" t="s">
        <v>881</v>
      </c>
      <c r="D157" s="30" t="s">
        <v>150</v>
      </c>
      <c r="E157" s="38" t="s">
        <v>37</v>
      </c>
      <c r="F157" s="38" t="s">
        <v>137</v>
      </c>
      <c r="G157" s="39">
        <v>46328.0</v>
      </c>
      <c r="H157" s="39">
        <v>46351.0</v>
      </c>
      <c r="I157" s="38">
        <v>15.0</v>
      </c>
      <c r="J157" s="30"/>
      <c r="K157" s="30"/>
      <c r="L157" s="30"/>
      <c r="M157" s="30"/>
      <c r="N157" s="30"/>
      <c r="O157" s="30"/>
      <c r="P157" s="30"/>
      <c r="Q157" s="30"/>
      <c r="R157" s="30"/>
      <c r="S157" s="30"/>
      <c r="T157" s="30"/>
      <c r="U157" s="30"/>
      <c r="V157" s="38" t="s">
        <v>40</v>
      </c>
      <c r="W157" s="38"/>
      <c r="X157" s="30"/>
      <c r="Y157" s="30"/>
    </row>
    <row r="158" ht="15.75" customHeight="1" outlineLevel="1">
      <c r="A158" s="38" t="s">
        <v>882</v>
      </c>
      <c r="B158" s="30" t="s">
        <v>875</v>
      </c>
      <c r="C158" s="30" t="s">
        <v>884</v>
      </c>
      <c r="D158" s="30" t="s">
        <v>150</v>
      </c>
      <c r="E158" s="38" t="s">
        <v>55</v>
      </c>
      <c r="F158" s="38" t="s">
        <v>137</v>
      </c>
      <c r="G158" s="39">
        <v>46338.0</v>
      </c>
      <c r="H158" s="39">
        <v>46346.0</v>
      </c>
      <c r="I158" s="38">
        <v>7.0</v>
      </c>
      <c r="J158" s="30"/>
      <c r="K158" s="30"/>
      <c r="L158" s="30"/>
      <c r="M158" s="30"/>
      <c r="N158" s="30"/>
      <c r="O158" s="30"/>
      <c r="P158" s="30"/>
      <c r="Q158" s="30"/>
      <c r="R158" s="30"/>
      <c r="S158" s="30"/>
      <c r="T158" s="30"/>
      <c r="U158" s="30"/>
      <c r="V158" s="38" t="s">
        <v>40</v>
      </c>
      <c r="W158" s="38"/>
      <c r="X158" s="30" t="s">
        <v>885</v>
      </c>
      <c r="Y158" s="30"/>
    </row>
    <row r="159" ht="28.5" customHeight="1" outlineLevel="1">
      <c r="A159" s="38" t="s">
        <v>886</v>
      </c>
      <c r="B159" s="30" t="s">
        <v>875</v>
      </c>
      <c r="C159" s="30" t="s">
        <v>887</v>
      </c>
      <c r="D159" s="30" t="s">
        <v>150</v>
      </c>
      <c r="E159" s="38" t="s">
        <v>37</v>
      </c>
      <c r="F159" s="38" t="s">
        <v>137</v>
      </c>
      <c r="G159" s="39">
        <v>46338.0</v>
      </c>
      <c r="H159" s="39">
        <v>46344.0</v>
      </c>
      <c r="I159" s="38">
        <v>5.0</v>
      </c>
      <c r="J159" s="30"/>
      <c r="K159" s="30"/>
      <c r="L159" s="30"/>
      <c r="M159" s="30"/>
      <c r="N159" s="30"/>
      <c r="O159" s="30"/>
      <c r="P159" s="30"/>
      <c r="Q159" s="30"/>
      <c r="R159" s="30"/>
      <c r="S159" s="30"/>
      <c r="T159" s="30"/>
      <c r="U159" s="30"/>
      <c r="V159" s="38" t="s">
        <v>40</v>
      </c>
      <c r="W159" s="38" t="s">
        <v>874</v>
      </c>
      <c r="X159" s="30"/>
      <c r="Y159" s="30"/>
    </row>
    <row r="160" ht="15.75" customHeight="1" outlineLevel="1">
      <c r="A160" s="38" t="s">
        <v>895</v>
      </c>
      <c r="B160" s="30" t="s">
        <v>875</v>
      </c>
      <c r="C160" s="30" t="s">
        <v>896</v>
      </c>
      <c r="D160" s="30" t="s">
        <v>150</v>
      </c>
      <c r="E160" s="38" t="s">
        <v>45</v>
      </c>
      <c r="F160" s="38" t="s">
        <v>137</v>
      </c>
      <c r="G160" s="39">
        <v>46349.0</v>
      </c>
      <c r="H160" s="39">
        <v>46358.0</v>
      </c>
      <c r="I160" s="38">
        <v>7.0</v>
      </c>
      <c r="J160" s="30"/>
      <c r="K160" s="30"/>
      <c r="L160" s="30"/>
      <c r="M160" s="30"/>
      <c r="N160" s="30"/>
      <c r="O160" s="30"/>
      <c r="P160" s="30"/>
      <c r="Q160" s="30"/>
      <c r="R160" s="30"/>
      <c r="S160" s="30"/>
      <c r="T160" s="30"/>
      <c r="U160" s="30"/>
      <c r="V160" s="38" t="s">
        <v>40</v>
      </c>
      <c r="W160" s="38" t="s">
        <v>897</v>
      </c>
      <c r="X160" s="30"/>
      <c r="Y160" s="30"/>
    </row>
    <row r="161" ht="28.5" customHeight="1" outlineLevel="1">
      <c r="A161" s="38" t="s">
        <v>898</v>
      </c>
      <c r="B161" s="30" t="s">
        <v>899</v>
      </c>
      <c r="C161" s="30" t="s">
        <v>900</v>
      </c>
      <c r="D161" s="30" t="s">
        <v>150</v>
      </c>
      <c r="E161" s="38" t="s">
        <v>45</v>
      </c>
      <c r="F161" s="38" t="s">
        <v>137</v>
      </c>
      <c r="G161" s="39">
        <v>46342.0</v>
      </c>
      <c r="H161" s="39">
        <v>46353.0</v>
      </c>
      <c r="I161" s="38">
        <v>9.0</v>
      </c>
      <c r="J161" s="30"/>
      <c r="K161" s="30"/>
      <c r="L161" s="30"/>
      <c r="M161" s="30"/>
      <c r="N161" s="30"/>
      <c r="O161" s="30"/>
      <c r="P161" s="30"/>
      <c r="Q161" s="30"/>
      <c r="R161" s="30"/>
      <c r="S161" s="30"/>
      <c r="T161" s="30"/>
      <c r="U161" s="30"/>
      <c r="V161" s="38" t="s">
        <v>40</v>
      </c>
      <c r="W161" s="38"/>
      <c r="X161" s="30" t="s">
        <v>901</v>
      </c>
      <c r="Y161" s="30"/>
    </row>
    <row r="162" ht="19.5" customHeight="1">
      <c r="A162" s="15" t="s">
        <v>902</v>
      </c>
      <c r="B162" s="15" t="s">
        <v>903</v>
      </c>
      <c r="C162" s="15"/>
      <c r="D162" s="15"/>
      <c r="E162" s="15"/>
      <c r="F162" s="15"/>
      <c r="G162" s="36">
        <v>46338.0</v>
      </c>
      <c r="H162" s="36">
        <v>46360.0</v>
      </c>
      <c r="I162" s="37">
        <v>16.0</v>
      </c>
      <c r="J162" s="15"/>
      <c r="K162" s="15"/>
      <c r="L162" s="15"/>
      <c r="M162" s="15"/>
      <c r="N162" s="15"/>
      <c r="O162" s="15"/>
      <c r="P162" s="15"/>
      <c r="Q162" s="15"/>
      <c r="R162" s="15"/>
      <c r="S162" s="15"/>
      <c r="T162" s="15"/>
      <c r="U162" s="15"/>
      <c r="V162" s="15"/>
      <c r="W162" s="15"/>
      <c r="X162" s="15"/>
      <c r="Y162" s="15"/>
    </row>
    <row r="163" ht="28.5" customHeight="1" outlineLevel="1">
      <c r="A163" s="38" t="s">
        <v>446</v>
      </c>
      <c r="B163" s="30" t="s">
        <v>906</v>
      </c>
      <c r="C163" s="30" t="s">
        <v>908</v>
      </c>
      <c r="D163" s="30" t="s">
        <v>305</v>
      </c>
      <c r="E163" s="38" t="s">
        <v>45</v>
      </c>
      <c r="F163" s="38" t="s">
        <v>32</v>
      </c>
      <c r="G163" s="39">
        <v>46343.0</v>
      </c>
      <c r="H163" s="39">
        <v>46352.0</v>
      </c>
      <c r="I163" s="38">
        <v>7.0</v>
      </c>
      <c r="J163" s="30"/>
      <c r="K163" s="30"/>
      <c r="L163" s="30"/>
      <c r="M163" s="30"/>
      <c r="N163" s="30"/>
      <c r="O163" s="30"/>
      <c r="P163" s="30"/>
      <c r="Q163" s="30"/>
      <c r="R163" s="30"/>
      <c r="S163" s="30"/>
      <c r="T163" s="30"/>
      <c r="U163" s="30"/>
      <c r="V163" s="38" t="s">
        <v>40</v>
      </c>
      <c r="W163" s="38" t="s">
        <v>859</v>
      </c>
      <c r="X163" s="30" t="s">
        <v>909</v>
      </c>
      <c r="Y163" s="30"/>
    </row>
    <row r="164" ht="28.5" customHeight="1" outlineLevel="1">
      <c r="A164" s="38" t="s">
        <v>873</v>
      </c>
      <c r="B164" s="30" t="s">
        <v>906</v>
      </c>
      <c r="C164" s="30" t="s">
        <v>910</v>
      </c>
      <c r="D164" s="30" t="s">
        <v>146</v>
      </c>
      <c r="E164" s="38" t="s">
        <v>55</v>
      </c>
      <c r="F164" s="38" t="s">
        <v>32</v>
      </c>
      <c r="G164" s="39">
        <v>46338.0</v>
      </c>
      <c r="H164" s="39">
        <v>46352.0</v>
      </c>
      <c r="I164" s="38">
        <v>10.0</v>
      </c>
      <c r="J164" s="30"/>
      <c r="K164" s="30"/>
      <c r="L164" s="30"/>
      <c r="M164" s="30"/>
      <c r="N164" s="30"/>
      <c r="O164" s="30"/>
      <c r="P164" s="30"/>
      <c r="Q164" s="30"/>
      <c r="R164" s="30"/>
      <c r="S164" s="30"/>
      <c r="T164" s="30"/>
      <c r="U164" s="30"/>
      <c r="V164" s="38" t="s">
        <v>40</v>
      </c>
      <c r="W164" s="38" t="s">
        <v>207</v>
      </c>
      <c r="X164" s="30" t="s">
        <v>286</v>
      </c>
      <c r="Y164" s="30"/>
    </row>
    <row r="165" ht="28.5" customHeight="1" outlineLevel="1">
      <c r="A165" s="38" t="s">
        <v>911</v>
      </c>
      <c r="B165" s="30" t="s">
        <v>906</v>
      </c>
      <c r="C165" s="30" t="s">
        <v>912</v>
      </c>
      <c r="D165" s="30" t="s">
        <v>146</v>
      </c>
      <c r="E165" s="38" t="s">
        <v>37</v>
      </c>
      <c r="F165" s="38" t="s">
        <v>32</v>
      </c>
      <c r="G165" s="39">
        <v>46349.0</v>
      </c>
      <c r="H165" s="39">
        <v>46353.0</v>
      </c>
      <c r="I165" s="38">
        <v>4.0</v>
      </c>
      <c r="J165" s="30"/>
      <c r="K165" s="30"/>
      <c r="L165" s="30"/>
      <c r="M165" s="30"/>
      <c r="N165" s="30"/>
      <c r="O165" s="30"/>
      <c r="P165" s="30"/>
      <c r="Q165" s="30"/>
      <c r="R165" s="30"/>
      <c r="S165" s="30"/>
      <c r="T165" s="30"/>
      <c r="U165" s="30"/>
      <c r="V165" s="38" t="s">
        <v>40</v>
      </c>
      <c r="W165" s="38"/>
      <c r="X165" s="30"/>
      <c r="Y165" s="30"/>
    </row>
    <row r="166" ht="28.5" customHeight="1" outlineLevel="1">
      <c r="A166" s="38" t="s">
        <v>913</v>
      </c>
      <c r="B166" s="30" t="s">
        <v>906</v>
      </c>
      <c r="C166" s="30" t="s">
        <v>914</v>
      </c>
      <c r="D166" s="30" t="s">
        <v>146</v>
      </c>
      <c r="E166" s="38" t="s">
        <v>55</v>
      </c>
      <c r="F166" s="38" t="s">
        <v>32</v>
      </c>
      <c r="G166" s="39">
        <v>46342.0</v>
      </c>
      <c r="H166" s="39">
        <v>46352.0</v>
      </c>
      <c r="I166" s="38">
        <v>8.0</v>
      </c>
      <c r="J166" s="30"/>
      <c r="K166" s="30"/>
      <c r="L166" s="30"/>
      <c r="M166" s="30"/>
      <c r="N166" s="30"/>
      <c r="O166" s="30"/>
      <c r="P166" s="30"/>
      <c r="Q166" s="30"/>
      <c r="R166" s="30"/>
      <c r="S166" s="30"/>
      <c r="T166" s="30"/>
      <c r="U166" s="30"/>
      <c r="V166" s="38" t="s">
        <v>40</v>
      </c>
      <c r="W166" s="38"/>
      <c r="X166" s="30" t="s">
        <v>915</v>
      </c>
      <c r="Y166" s="30"/>
    </row>
    <row r="167" ht="15.75" customHeight="1" outlineLevel="1">
      <c r="A167" s="38" t="s">
        <v>916</v>
      </c>
      <c r="B167" s="30" t="s">
        <v>906</v>
      </c>
      <c r="C167" s="30" t="s">
        <v>917</v>
      </c>
      <c r="D167" s="30" t="s">
        <v>216</v>
      </c>
      <c r="E167" s="38" t="s">
        <v>37</v>
      </c>
      <c r="F167" s="38" t="s">
        <v>32</v>
      </c>
      <c r="G167" s="39">
        <v>46356.0</v>
      </c>
      <c r="H167" s="39">
        <v>46357.0</v>
      </c>
      <c r="I167" s="38">
        <v>2.0</v>
      </c>
      <c r="J167" s="30"/>
      <c r="K167" s="30"/>
      <c r="L167" s="30"/>
      <c r="M167" s="30"/>
      <c r="N167" s="30"/>
      <c r="O167" s="30"/>
      <c r="P167" s="30"/>
      <c r="Q167" s="30"/>
      <c r="R167" s="30"/>
      <c r="S167" s="30"/>
      <c r="T167" s="30"/>
      <c r="U167" s="30"/>
      <c r="V167" s="38" t="s">
        <v>40</v>
      </c>
      <c r="W167" s="38" t="s">
        <v>918</v>
      </c>
      <c r="X167" s="30"/>
      <c r="Y167" s="30"/>
    </row>
    <row r="168" ht="28.5" customHeight="1" outlineLevel="1">
      <c r="A168" s="38" t="s">
        <v>919</v>
      </c>
      <c r="B168" s="30" t="s">
        <v>906</v>
      </c>
      <c r="C168" s="30" t="s">
        <v>920</v>
      </c>
      <c r="D168" s="30" t="s">
        <v>216</v>
      </c>
      <c r="E168" s="38" t="s">
        <v>37</v>
      </c>
      <c r="F168" s="38" t="s">
        <v>32</v>
      </c>
      <c r="G168" s="39">
        <v>46356.0</v>
      </c>
      <c r="H168" s="39">
        <v>46358.0</v>
      </c>
      <c r="I168" s="38">
        <v>3.0</v>
      </c>
      <c r="J168" s="30"/>
      <c r="K168" s="30"/>
      <c r="L168" s="30"/>
      <c r="M168" s="30"/>
      <c r="N168" s="30"/>
      <c r="O168" s="30"/>
      <c r="P168" s="30"/>
      <c r="Q168" s="30"/>
      <c r="R168" s="30"/>
      <c r="S168" s="30"/>
      <c r="T168" s="30"/>
      <c r="U168" s="30"/>
      <c r="V168" s="38" t="s">
        <v>40</v>
      </c>
      <c r="W168" s="38" t="s">
        <v>916</v>
      </c>
      <c r="X168" s="30"/>
      <c r="Y168" s="30"/>
    </row>
    <row r="169" ht="28.5" customHeight="1" outlineLevel="1">
      <c r="A169" s="38" t="s">
        <v>921</v>
      </c>
      <c r="B169" s="30" t="s">
        <v>906</v>
      </c>
      <c r="C169" s="30" t="s">
        <v>922</v>
      </c>
      <c r="D169" s="30" t="s">
        <v>150</v>
      </c>
      <c r="E169" s="38" t="s">
        <v>45</v>
      </c>
      <c r="F169" s="38" t="s">
        <v>32</v>
      </c>
      <c r="G169" s="39">
        <v>46357.0</v>
      </c>
      <c r="H169" s="39">
        <v>46358.0</v>
      </c>
      <c r="I169" s="38">
        <v>2.0</v>
      </c>
      <c r="J169" s="30"/>
      <c r="K169" s="30"/>
      <c r="L169" s="30"/>
      <c r="M169" s="30"/>
      <c r="N169" s="30"/>
      <c r="O169" s="30"/>
      <c r="P169" s="30"/>
      <c r="Q169" s="30"/>
      <c r="R169" s="30"/>
      <c r="S169" s="30"/>
      <c r="T169" s="30"/>
      <c r="U169" s="30"/>
      <c r="V169" s="38" t="s">
        <v>40</v>
      </c>
      <c r="W169" s="38" t="s">
        <v>919</v>
      </c>
      <c r="X169" s="30"/>
      <c r="Y169" s="30"/>
    </row>
    <row r="170" ht="15.75" customHeight="1" outlineLevel="1">
      <c r="A170" s="38" t="s">
        <v>114</v>
      </c>
      <c r="B170" s="30" t="s">
        <v>906</v>
      </c>
      <c r="C170" s="30" t="s">
        <v>923</v>
      </c>
      <c r="D170" s="30" t="s">
        <v>150</v>
      </c>
      <c r="E170" s="38" t="s">
        <v>45</v>
      </c>
      <c r="F170" s="38" t="s">
        <v>32</v>
      </c>
      <c r="G170" s="39">
        <v>46358.0</v>
      </c>
      <c r="H170" s="39">
        <v>46358.0</v>
      </c>
      <c r="I170" s="38">
        <v>1.0</v>
      </c>
      <c r="J170" s="30"/>
      <c r="K170" s="30"/>
      <c r="L170" s="30"/>
      <c r="M170" s="30"/>
      <c r="N170" s="30"/>
      <c r="O170" s="30"/>
      <c r="P170" s="30"/>
      <c r="Q170" s="30"/>
      <c r="R170" s="30"/>
      <c r="S170" s="30"/>
      <c r="T170" s="30"/>
      <c r="U170" s="30"/>
      <c r="V170" s="38" t="s">
        <v>40</v>
      </c>
      <c r="W170" s="38" t="s">
        <v>921</v>
      </c>
      <c r="X170" s="30"/>
      <c r="Y170" s="30"/>
    </row>
    <row r="171" ht="28.5" customHeight="1" outlineLevel="1">
      <c r="A171" s="38" t="s">
        <v>120</v>
      </c>
      <c r="B171" s="30" t="s">
        <v>906</v>
      </c>
      <c r="C171" s="30" t="s">
        <v>924</v>
      </c>
      <c r="D171" s="30" t="s">
        <v>150</v>
      </c>
      <c r="E171" s="38" t="s">
        <v>45</v>
      </c>
      <c r="F171" s="38" t="s">
        <v>32</v>
      </c>
      <c r="G171" s="39">
        <v>46359.0</v>
      </c>
      <c r="H171" s="39">
        <v>46359.0</v>
      </c>
      <c r="I171" s="38">
        <v>1.0</v>
      </c>
      <c r="J171" s="30"/>
      <c r="K171" s="30"/>
      <c r="L171" s="30"/>
      <c r="M171" s="30"/>
      <c r="N171" s="30"/>
      <c r="O171" s="30"/>
      <c r="P171" s="30"/>
      <c r="Q171" s="30"/>
      <c r="R171" s="30"/>
      <c r="S171" s="30"/>
      <c r="T171" s="30"/>
      <c r="U171" s="30"/>
      <c r="V171" s="38" t="s">
        <v>40</v>
      </c>
      <c r="W171" s="38" t="s">
        <v>114</v>
      </c>
      <c r="X171" s="30"/>
      <c r="Y171" s="30" t="s">
        <v>121</v>
      </c>
    </row>
    <row r="172" ht="28.5" customHeight="1" outlineLevel="1">
      <c r="A172" s="38" t="s">
        <v>129</v>
      </c>
      <c r="B172" s="30" t="s">
        <v>906</v>
      </c>
      <c r="C172" s="30" t="s">
        <v>925</v>
      </c>
      <c r="D172" s="30" t="s">
        <v>150</v>
      </c>
      <c r="E172" s="38" t="s">
        <v>45</v>
      </c>
      <c r="F172" s="38" t="s">
        <v>32</v>
      </c>
      <c r="G172" s="39">
        <v>46359.0</v>
      </c>
      <c r="H172" s="39">
        <v>46360.0</v>
      </c>
      <c r="I172" s="38">
        <v>2.0</v>
      </c>
      <c r="J172" s="30"/>
      <c r="K172" s="30"/>
      <c r="L172" s="30"/>
      <c r="M172" s="30"/>
      <c r="N172" s="30"/>
      <c r="O172" s="30"/>
      <c r="P172" s="30"/>
      <c r="Q172" s="30"/>
      <c r="R172" s="30"/>
      <c r="S172" s="30"/>
      <c r="T172" s="30"/>
      <c r="U172" s="30"/>
      <c r="V172" s="38" t="s">
        <v>40</v>
      </c>
      <c r="W172" s="38" t="s">
        <v>120</v>
      </c>
      <c r="X172" s="30"/>
      <c r="Y172" s="30"/>
    </row>
    <row r="173" ht="19.5" customHeight="1">
      <c r="A173" s="15" t="s">
        <v>926</v>
      </c>
      <c r="B173" s="15" t="s">
        <v>927</v>
      </c>
      <c r="C173" s="15"/>
      <c r="D173" s="15"/>
      <c r="E173" s="15"/>
      <c r="F173" s="15"/>
      <c r="G173" s="36">
        <v>46360.0</v>
      </c>
      <c r="H173" s="36">
        <v>46387.0</v>
      </c>
      <c r="I173" s="37">
        <v>19.0</v>
      </c>
      <c r="J173" s="15"/>
      <c r="K173" s="15"/>
      <c r="L173" s="15"/>
      <c r="M173" s="15"/>
      <c r="N173" s="15"/>
      <c r="O173" s="15"/>
      <c r="P173" s="15"/>
      <c r="Q173" s="15"/>
      <c r="R173" s="15"/>
      <c r="S173" s="15"/>
      <c r="T173" s="15"/>
      <c r="U173" s="15"/>
      <c r="V173" s="15"/>
      <c r="W173" s="15"/>
      <c r="X173" s="15"/>
      <c r="Y173" s="15"/>
    </row>
    <row r="174" ht="15.75" customHeight="1" outlineLevel="1">
      <c r="A174" s="38" t="s">
        <v>932</v>
      </c>
      <c r="B174" s="30" t="s">
        <v>899</v>
      </c>
      <c r="C174" s="30" t="s">
        <v>934</v>
      </c>
      <c r="D174" s="30" t="s">
        <v>150</v>
      </c>
      <c r="E174" s="38" t="s">
        <v>37</v>
      </c>
      <c r="F174" s="38" t="s">
        <v>32</v>
      </c>
      <c r="G174" s="39">
        <v>46360.0</v>
      </c>
      <c r="H174" s="39">
        <v>46374.0</v>
      </c>
      <c r="I174" s="38">
        <v>11.0</v>
      </c>
      <c r="J174" s="30"/>
      <c r="K174" s="30"/>
      <c r="L174" s="30"/>
      <c r="M174" s="30"/>
      <c r="N174" s="30"/>
      <c r="O174" s="30"/>
      <c r="P174" s="30"/>
      <c r="Q174" s="30"/>
      <c r="R174" s="30"/>
      <c r="S174" s="30"/>
      <c r="T174" s="30"/>
      <c r="U174" s="30"/>
      <c r="V174" s="38" t="s">
        <v>40</v>
      </c>
      <c r="W174" s="38" t="s">
        <v>120</v>
      </c>
      <c r="X174" s="30"/>
      <c r="Y174" s="30"/>
    </row>
    <row r="175" ht="15.75" customHeight="1" outlineLevel="1">
      <c r="A175" s="38" t="s">
        <v>133</v>
      </c>
      <c r="B175" s="30" t="s">
        <v>938</v>
      </c>
      <c r="C175" s="30" t="s">
        <v>939</v>
      </c>
      <c r="D175" s="30" t="s">
        <v>150</v>
      </c>
      <c r="E175" s="38" t="s">
        <v>45</v>
      </c>
      <c r="F175" s="38" t="s">
        <v>137</v>
      </c>
      <c r="G175" s="39">
        <v>46363.0</v>
      </c>
      <c r="H175" s="39">
        <v>46374.0</v>
      </c>
      <c r="I175" s="38">
        <v>10.0</v>
      </c>
      <c r="J175" s="30"/>
      <c r="K175" s="30"/>
      <c r="L175" s="30"/>
      <c r="M175" s="30"/>
      <c r="N175" s="30"/>
      <c r="O175" s="30"/>
      <c r="P175" s="30"/>
      <c r="Q175" s="30"/>
      <c r="R175" s="30"/>
      <c r="S175" s="30"/>
      <c r="T175" s="30"/>
      <c r="U175" s="30"/>
      <c r="V175" s="38" t="s">
        <v>40</v>
      </c>
      <c r="W175" s="38" t="s">
        <v>120</v>
      </c>
      <c r="X175" s="30" t="s">
        <v>940</v>
      </c>
      <c r="Y175" s="30"/>
    </row>
    <row r="176" ht="28.5" customHeight="1" outlineLevel="1">
      <c r="A176" s="38" t="s">
        <v>941</v>
      </c>
      <c r="B176" s="30" t="s">
        <v>584</v>
      </c>
      <c r="C176" s="30" t="s">
        <v>942</v>
      </c>
      <c r="D176" s="30" t="s">
        <v>305</v>
      </c>
      <c r="E176" s="38" t="s">
        <v>45</v>
      </c>
      <c r="F176" s="38" t="s">
        <v>32</v>
      </c>
      <c r="G176" s="39">
        <v>46360.0</v>
      </c>
      <c r="H176" s="39">
        <v>46374.0</v>
      </c>
      <c r="I176" s="38">
        <v>11.0</v>
      </c>
      <c r="J176" s="30"/>
      <c r="K176" s="30"/>
      <c r="L176" s="30"/>
      <c r="M176" s="30"/>
      <c r="N176" s="30"/>
      <c r="O176" s="30"/>
      <c r="P176" s="30"/>
      <c r="Q176" s="30"/>
      <c r="R176" s="30"/>
      <c r="S176" s="30"/>
      <c r="T176" s="30"/>
      <c r="U176" s="30"/>
      <c r="V176" s="38" t="s">
        <v>40</v>
      </c>
      <c r="W176" s="38" t="s">
        <v>120</v>
      </c>
      <c r="X176" s="30"/>
      <c r="Y176" s="30"/>
    </row>
    <row r="177" ht="15.75" customHeight="1" outlineLevel="1">
      <c r="A177" s="38" t="s">
        <v>947</v>
      </c>
      <c r="B177" s="30" t="s">
        <v>783</v>
      </c>
      <c r="C177" s="30" t="s">
        <v>948</v>
      </c>
      <c r="D177" s="30" t="s">
        <v>210</v>
      </c>
      <c r="E177" s="38" t="s">
        <v>37</v>
      </c>
      <c r="F177" s="38" t="s">
        <v>164</v>
      </c>
      <c r="G177" s="39">
        <v>46360.0</v>
      </c>
      <c r="H177" s="39">
        <v>46363.0</v>
      </c>
      <c r="I177" s="38">
        <v>2.0</v>
      </c>
      <c r="J177" s="30"/>
      <c r="K177" s="30"/>
      <c r="L177" s="30"/>
      <c r="M177" s="30"/>
      <c r="N177" s="30"/>
      <c r="O177" s="30"/>
      <c r="P177" s="30"/>
      <c r="Q177" s="30"/>
      <c r="R177" s="30"/>
      <c r="S177" s="30"/>
      <c r="T177" s="30"/>
      <c r="U177" s="30"/>
      <c r="V177" s="38" t="s">
        <v>40</v>
      </c>
      <c r="W177" s="38" t="s">
        <v>816</v>
      </c>
      <c r="X177" s="30"/>
      <c r="Y177" s="30"/>
    </row>
    <row r="178" ht="42.0" customHeight="1" outlineLevel="1">
      <c r="A178" s="38" t="s">
        <v>953</v>
      </c>
      <c r="B178" s="30" t="s">
        <v>70</v>
      </c>
      <c r="C178" s="30" t="s">
        <v>954</v>
      </c>
      <c r="D178" s="30" t="s">
        <v>955</v>
      </c>
      <c r="E178" s="38" t="s">
        <v>37</v>
      </c>
      <c r="F178" s="38" t="s">
        <v>164</v>
      </c>
      <c r="G178" s="39">
        <v>46363.0</v>
      </c>
      <c r="H178" s="39">
        <v>46372.0</v>
      </c>
      <c r="I178" s="38">
        <v>8.0</v>
      </c>
      <c r="J178" s="30"/>
      <c r="K178" s="30"/>
      <c r="L178" s="30"/>
      <c r="M178" s="30"/>
      <c r="N178" s="30"/>
      <c r="O178" s="30"/>
      <c r="P178" s="30"/>
      <c r="Q178" s="30"/>
      <c r="R178" s="30"/>
      <c r="S178" s="30"/>
      <c r="T178" s="30"/>
      <c r="U178" s="30"/>
      <c r="V178" s="38" t="s">
        <v>40</v>
      </c>
      <c r="W178" s="38" t="s">
        <v>120</v>
      </c>
      <c r="X178" s="30" t="s">
        <v>956</v>
      </c>
      <c r="Y178" s="30"/>
    </row>
    <row r="179" ht="15.75" customHeight="1" outlineLevel="1">
      <c r="A179" s="38" t="s">
        <v>957</v>
      </c>
      <c r="B179" s="30" t="s">
        <v>70</v>
      </c>
      <c r="C179" s="30" t="s">
        <v>958</v>
      </c>
      <c r="D179" s="30" t="s">
        <v>955</v>
      </c>
      <c r="E179" s="38" t="s">
        <v>45</v>
      </c>
      <c r="F179" s="38" t="s">
        <v>164</v>
      </c>
      <c r="G179" s="39">
        <v>46373.0</v>
      </c>
      <c r="H179" s="39">
        <v>46386.0</v>
      </c>
      <c r="I179" s="38">
        <v>9.0</v>
      </c>
      <c r="J179" s="30"/>
      <c r="K179" s="30"/>
      <c r="L179" s="30"/>
      <c r="M179" s="30"/>
      <c r="N179" s="30"/>
      <c r="O179" s="30"/>
      <c r="P179" s="30"/>
      <c r="Q179" s="30"/>
      <c r="R179" s="30"/>
      <c r="S179" s="30"/>
      <c r="T179" s="30"/>
      <c r="U179" s="30"/>
      <c r="V179" s="38" t="s">
        <v>40</v>
      </c>
      <c r="W179" s="38" t="s">
        <v>953</v>
      </c>
      <c r="X179" s="30"/>
      <c r="Y179" s="30"/>
    </row>
    <row r="180" ht="28.5" customHeight="1" outlineLevel="1">
      <c r="A180" s="38" t="s">
        <v>962</v>
      </c>
      <c r="B180" s="30" t="s">
        <v>546</v>
      </c>
      <c r="C180" s="30" t="s">
        <v>965</v>
      </c>
      <c r="D180" s="30" t="s">
        <v>543</v>
      </c>
      <c r="E180" s="38" t="s">
        <v>37</v>
      </c>
      <c r="F180" s="38" t="s">
        <v>164</v>
      </c>
      <c r="G180" s="39">
        <v>46363.0</v>
      </c>
      <c r="H180" s="39">
        <v>46379.0</v>
      </c>
      <c r="I180" s="38">
        <v>13.0</v>
      </c>
      <c r="J180" s="30"/>
      <c r="K180" s="30"/>
      <c r="L180" s="30"/>
      <c r="M180" s="30"/>
      <c r="N180" s="30"/>
      <c r="O180" s="30"/>
      <c r="P180" s="30"/>
      <c r="Q180" s="30"/>
      <c r="R180" s="30"/>
      <c r="S180" s="30"/>
      <c r="T180" s="30"/>
      <c r="U180" s="30"/>
      <c r="V180" s="38" t="s">
        <v>40</v>
      </c>
      <c r="W180" s="38" t="s">
        <v>120</v>
      </c>
      <c r="X180" s="30"/>
      <c r="Y180" s="30"/>
    </row>
    <row r="181" ht="15.75" customHeight="1" outlineLevel="1">
      <c r="A181" s="38" t="s">
        <v>491</v>
      </c>
      <c r="B181" s="30" t="s">
        <v>167</v>
      </c>
      <c r="C181" s="30" t="s">
        <v>970</v>
      </c>
      <c r="D181" s="30" t="s">
        <v>216</v>
      </c>
      <c r="E181" s="38" t="s">
        <v>45</v>
      </c>
      <c r="F181" s="38" t="s">
        <v>137</v>
      </c>
      <c r="G181" s="39">
        <v>46363.0</v>
      </c>
      <c r="H181" s="39">
        <v>46365.0</v>
      </c>
      <c r="I181" s="38">
        <v>3.0</v>
      </c>
      <c r="J181" s="30"/>
      <c r="K181" s="30"/>
      <c r="L181" s="30"/>
      <c r="M181" s="30"/>
      <c r="N181" s="30"/>
      <c r="O181" s="30"/>
      <c r="P181" s="30"/>
      <c r="Q181" s="30"/>
      <c r="R181" s="30"/>
      <c r="S181" s="30"/>
      <c r="T181" s="30"/>
      <c r="U181" s="30"/>
      <c r="V181" s="38" t="s">
        <v>40</v>
      </c>
      <c r="W181" s="38" t="s">
        <v>120</v>
      </c>
      <c r="X181" s="30" t="s">
        <v>971</v>
      </c>
      <c r="Y181" s="30"/>
    </row>
    <row r="182" ht="28.5" customHeight="1" outlineLevel="1">
      <c r="A182" s="38" t="s">
        <v>972</v>
      </c>
      <c r="B182" s="30" t="s">
        <v>144</v>
      </c>
      <c r="C182" s="30" t="s">
        <v>973</v>
      </c>
      <c r="D182" s="30" t="s">
        <v>150</v>
      </c>
      <c r="E182" s="38" t="s">
        <v>45</v>
      </c>
      <c r="F182" s="38" t="s">
        <v>164</v>
      </c>
      <c r="G182" s="39">
        <v>46363.0</v>
      </c>
      <c r="H182" s="39">
        <v>46374.0</v>
      </c>
      <c r="I182" s="38">
        <v>10.0</v>
      </c>
      <c r="J182" s="30"/>
      <c r="K182" s="30"/>
      <c r="L182" s="30"/>
      <c r="M182" s="30"/>
      <c r="N182" s="30"/>
      <c r="O182" s="30"/>
      <c r="P182" s="30"/>
      <c r="Q182" s="30"/>
      <c r="R182" s="30"/>
      <c r="S182" s="30"/>
      <c r="T182" s="30"/>
      <c r="U182" s="30"/>
      <c r="V182" s="38" t="s">
        <v>40</v>
      </c>
      <c r="W182" s="38" t="s">
        <v>975</v>
      </c>
      <c r="X182" s="30"/>
      <c r="Y182" s="30"/>
    </row>
    <row r="183" ht="42.0" customHeight="1" outlineLevel="1">
      <c r="A183" s="38" t="s">
        <v>136</v>
      </c>
      <c r="B183" s="30" t="s">
        <v>144</v>
      </c>
      <c r="C183" s="30" t="s">
        <v>976</v>
      </c>
      <c r="D183" s="30" t="s">
        <v>150</v>
      </c>
      <c r="E183" s="38" t="s">
        <v>45</v>
      </c>
      <c r="F183" s="38" t="s">
        <v>137</v>
      </c>
      <c r="G183" s="39">
        <v>46384.0</v>
      </c>
      <c r="H183" s="39">
        <v>46387.0</v>
      </c>
      <c r="I183" s="38">
        <v>4.0</v>
      </c>
      <c r="J183" s="30"/>
      <c r="K183" s="30"/>
      <c r="L183" s="30"/>
      <c r="M183" s="30"/>
      <c r="N183" s="30"/>
      <c r="O183" s="30"/>
      <c r="P183" s="30"/>
      <c r="Q183" s="30"/>
      <c r="R183" s="30"/>
      <c r="S183" s="30"/>
      <c r="T183" s="30"/>
      <c r="U183" s="30"/>
      <c r="V183" s="38" t="s">
        <v>40</v>
      </c>
      <c r="W183" s="38" t="s">
        <v>977</v>
      </c>
      <c r="X183" s="30"/>
      <c r="Y183" s="30" t="s">
        <v>978</v>
      </c>
    </row>
    <row r="184" ht="19.5" customHeight="1">
      <c r="A184" s="15" t="s">
        <v>979</v>
      </c>
      <c r="B184" s="15" t="s">
        <v>981</v>
      </c>
      <c r="C184" s="15"/>
      <c r="D184" s="15"/>
      <c r="E184" s="15"/>
      <c r="F184" s="15"/>
      <c r="G184" s="36">
        <v>46307.0</v>
      </c>
      <c r="H184" s="36">
        <v>46380.0</v>
      </c>
      <c r="I184" s="37">
        <v>50.0</v>
      </c>
      <c r="J184" s="15"/>
      <c r="K184" s="15"/>
      <c r="L184" s="15"/>
      <c r="M184" s="15"/>
      <c r="N184" s="15"/>
      <c r="O184" s="15"/>
      <c r="P184" s="15"/>
      <c r="Q184" s="15"/>
      <c r="R184" s="15"/>
      <c r="S184" s="15"/>
      <c r="T184" s="15"/>
      <c r="U184" s="15"/>
      <c r="V184" s="15"/>
      <c r="W184" s="15"/>
      <c r="X184" s="15"/>
      <c r="Y184" s="15"/>
    </row>
    <row r="185" ht="28.5" customHeight="1" outlineLevel="1">
      <c r="A185" s="38" t="s">
        <v>988</v>
      </c>
      <c r="B185" s="30" t="s">
        <v>144</v>
      </c>
      <c r="C185" s="30" t="s">
        <v>989</v>
      </c>
      <c r="D185" s="30" t="s">
        <v>150</v>
      </c>
      <c r="E185" s="38" t="s">
        <v>45</v>
      </c>
      <c r="F185" s="38" t="s">
        <v>137</v>
      </c>
      <c r="G185" s="39">
        <v>46311.0</v>
      </c>
      <c r="H185" s="39">
        <v>46380.0</v>
      </c>
      <c r="I185" s="38">
        <v>46.0</v>
      </c>
      <c r="J185" s="30"/>
      <c r="K185" s="30"/>
      <c r="L185" s="30"/>
      <c r="M185" s="30"/>
      <c r="N185" s="30"/>
      <c r="O185" s="30"/>
      <c r="P185" s="30"/>
      <c r="Q185" s="30"/>
      <c r="R185" s="30"/>
      <c r="S185" s="30"/>
      <c r="T185" s="30"/>
      <c r="U185" s="30"/>
      <c r="V185" s="38" t="s">
        <v>40</v>
      </c>
      <c r="W185" s="38" t="s">
        <v>155</v>
      </c>
      <c r="X185" s="30"/>
      <c r="Y185" s="30" t="s">
        <v>990</v>
      </c>
    </row>
    <row r="186" ht="28.5" customHeight="1" outlineLevel="1">
      <c r="A186" s="38" t="s">
        <v>991</v>
      </c>
      <c r="B186" s="30" t="s">
        <v>144</v>
      </c>
      <c r="C186" s="30" t="s">
        <v>992</v>
      </c>
      <c r="D186" s="30" t="s">
        <v>150</v>
      </c>
      <c r="E186" s="38" t="s">
        <v>45</v>
      </c>
      <c r="F186" s="38" t="s">
        <v>137</v>
      </c>
      <c r="G186" s="39">
        <v>46307.0</v>
      </c>
      <c r="H186" s="39">
        <v>46374.0</v>
      </c>
      <c r="I186" s="38">
        <v>46.0</v>
      </c>
      <c r="J186" s="30"/>
      <c r="K186" s="30"/>
      <c r="L186" s="30"/>
      <c r="M186" s="30"/>
      <c r="N186" s="30"/>
      <c r="O186" s="30"/>
      <c r="P186" s="30"/>
      <c r="Q186" s="30"/>
      <c r="R186" s="30"/>
      <c r="S186" s="30"/>
      <c r="T186" s="30"/>
      <c r="U186" s="30"/>
      <c r="V186" s="38" t="s">
        <v>40</v>
      </c>
      <c r="W186" s="38" t="s">
        <v>155</v>
      </c>
      <c r="X186" s="30"/>
      <c r="Y186" s="30"/>
    </row>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6:$Y$186"/>
  <mergeCells count="2">
    <mergeCell ref="J4:Q4"/>
    <mergeCell ref="R4:U4"/>
  </mergeCells>
  <conditionalFormatting sqref="J7:U186">
    <cfRule type="expression" dxfId="0" priority="1">
      <formula>AND(LEFT($A7,1)="P",ISNUMBER($G7),$G7&lt;=J$6+6,$H7&gt;=J$6)</formula>
    </cfRule>
  </conditionalFormatting>
  <conditionalFormatting sqref="J7:U186">
    <cfRule type="expression" dxfId="1" priority="2">
      <formula>AND(LEFT($A7,1)&lt;&gt;"P",LEFT($A7,1)&lt;&gt;"M",$E7="Zopper",ISNUMBER($G7),$G7&lt;=J$6+6,$H7&gt;=J$6)</formula>
    </cfRule>
  </conditionalFormatting>
  <conditionalFormatting sqref="J7:U186">
    <cfRule type="expression" dxfId="2" priority="3">
      <formula>AND(LEFT($A7,1)&lt;&gt;"P",LEFT($A7,1)&lt;&gt;"M",$E7="Federal Bank",ISNUMBER($G7),$G7&lt;=J$6+6,$H7&gt;=J$6)</formula>
    </cfRule>
  </conditionalFormatting>
  <conditionalFormatting sqref="J7:U186">
    <cfRule type="expression" dxfId="3" priority="4">
      <formula>AND(LEFT($A7,1)&lt;&gt;"P",LEFT($A7,1)&lt;&gt;"M",$E7="Insurer",ISNUMBER($G7),$G7&lt;=J$6+6,$H7&gt;=J$6)</formula>
    </cfRule>
  </conditionalFormatting>
  <conditionalFormatting sqref="J7:U186">
    <cfRule type="expression" dxfId="4" priority="5">
      <formula>AND(LEFT($A7,1)&lt;&gt;"P",LEFT($A7,1)&lt;&gt;"M",$E7="Joint",ISNUMBER($G7),$G7&lt;=J$6+6,$H7&gt;=J$6)</formula>
    </cfRule>
  </conditionalFormatting>
  <conditionalFormatting sqref="V7:V186">
    <cfRule type="cellIs" dxfId="5" priority="6" operator="equal">
      <formula>"Done"</formula>
    </cfRule>
  </conditionalFormatting>
  <conditionalFormatting sqref="V7:V186">
    <cfRule type="cellIs" dxfId="6" priority="7" operator="equal">
      <formula>"In Progress"</formula>
    </cfRule>
  </conditionalFormatting>
  <conditionalFormatting sqref="V7:V186">
    <cfRule type="cellIs" dxfId="7" priority="8" operator="equal">
      <formula>"Blocked"</formula>
    </cfRule>
  </conditionalFormatting>
  <conditionalFormatting sqref="V7:V186">
    <cfRule type="cellIs" dxfId="8" priority="9" operator="equal">
      <formula>"At Risk"</formula>
    </cfRule>
  </conditionalFormatting>
  <conditionalFormatting sqref="F8:F29 F31:F46 F48:F58 F60:F86 F88:F103 F105:F114 F116:F130 F132:F137 F139:F144 F146:F154 F156:F186">
    <cfRule type="cellIs" dxfId="9" priority="10" operator="equal">
      <formula>"P0"</formula>
    </cfRule>
  </conditionalFormatting>
  <dataValidations>
    <dataValidation type="list" allowBlank="1" sqref="E8:E29 E31:E46 E48:E58 E60:E86 E88:E103 E105:E114 E116:E130 E132:E137 E139:E144 E146:E154 E156:E186">
      <formula1>"Zopper,Federal Bank,Insurer,Joint"</formula1>
    </dataValidation>
    <dataValidation type="list" allowBlank="1" sqref="V7:V186">
      <formula1>"Planned,In Progress,Done,Blocked,At Risk"</formula1>
    </dataValidation>
    <dataValidation type="list" allowBlank="1" sqref="F8:F29 F31:F46 F48:F58 F60:F86 F88:F103 F105:F114 F116:F130 F132:F137 F139:F144 F146:F154 F156:F186">
      <formula1>"P0,P1,P2"</formula1>
    </dataValidation>
  </dataValidations>
  <printOptions/>
  <pageMargins bottom="0.4" footer="0.0" header="0.0" left="0.3" right="0.3" top="0.4"/>
  <pageSetup fitToHeight="0" paperSize="8"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3.0" ySplit="7.0" topLeftCell="D8" activePane="bottomRight" state="frozen"/>
      <selection activeCell="D1" sqref="D1" pane="topRight"/>
      <selection activeCell="A8" sqref="A8" pane="bottomLeft"/>
      <selection activeCell="D8" sqref="D8" pane="bottomRight"/>
    </sheetView>
  </sheetViews>
  <sheetFormatPr customHeight="1" defaultColWidth="12.63" defaultRowHeight="15.0" outlineLevelCol="1" outlineLevelRow="1"/>
  <cols>
    <col customWidth="1" min="1" max="1" width="5.25"/>
    <col customWidth="1" min="2" max="2" width="13.13"/>
    <col customWidth="1" min="3" max="3" width="26.25"/>
    <col customWidth="1" min="4" max="4" width="40.25"/>
    <col customWidth="1" min="5" max="5" width="29.75"/>
    <col customWidth="1" min="6" max="6" width="17.5"/>
    <col customWidth="1" min="7" max="7" width="13.13"/>
    <col customWidth="1" min="8" max="10" width="9.63"/>
    <col customWidth="1" min="11" max="11" width="8.75"/>
    <col customWidth="1" min="12" max="13" width="7.88"/>
    <col customWidth="1" min="14" max="14" width="8.75"/>
    <col customWidth="1" min="15" max="15" width="36.75" outlineLevel="1"/>
    <col customWidth="1" min="16" max="16" width="45.5" outlineLevel="1"/>
    <col customWidth="1" min="17" max="17" width="29.75" outlineLevel="1"/>
    <col customWidth="1" min="18" max="18" width="33.25" outlineLevel="1"/>
    <col customWidth="1" min="19" max="19" width="10.5"/>
    <col customWidth="1" min="20" max="20" width="9.63"/>
    <col customWidth="1" min="21" max="21" width="13.13"/>
    <col customWidth="1" min="22" max="23" width="9.63"/>
    <col customWidth="1" min="24" max="24" width="8.75"/>
    <col customWidth="1" min="25" max="25" width="9.63"/>
    <col customWidth="1" min="26" max="26" width="8.75"/>
    <col customWidth="1" min="27" max="27" width="7.0"/>
    <col customWidth="1" min="28" max="28" width="14.88"/>
    <col customWidth="1" min="29" max="29" width="9.63"/>
    <col customWidth="1" min="30" max="30" width="33.25"/>
  </cols>
  <sheetData>
    <row r="1" ht="25.5" customHeight="1">
      <c r="A1" s="1" t="s">
        <v>3</v>
      </c>
    </row>
    <row r="2">
      <c r="A2" s="2"/>
    </row>
    <row r="3">
      <c r="B3" s="6" t="s">
        <v>5</v>
      </c>
      <c r="C3" s="10">
        <f>TODAY()</f>
        <v>46301</v>
      </c>
      <c r="D3" s="11"/>
    </row>
    <row r="4">
      <c r="A4" s="3" t="str">
        <f>"Dependencies "&amp;COUNTA(A8:A80)&amp;"   |   Not yet raised "&amp;COUNTIF(S8:S80,"Not raised")&amp;"   |   Open "&amp;(COUNTA(A8:A80)-COUNTIF(S8:S80,"Closed")-COUNTIF(S8:S80,"Received")-COUNTIF(S8:S80,"Not applicable"))&amp;"   |   Closed or received "&amp;(COUNTIF(S8:S80,"Closed")+COUNTIF(S8:S80,"Received"))&amp;"   |   Red "&amp;COUNTIF(AA8:AA80,"Red")&amp;"   |   Amber "&amp;COUNTIF(AA8:AA80,"Amber")&amp;"   |   Planning risk: Critical "&amp;COUNTIF(N8:N80,"Critical")&amp;", At risk "&amp;COUNTIF(N8:N80,"At risk")&amp;", Tight "&amp;COUNTIF(N8:N80,"Tight")&amp;", OK "&amp;COUNTIF(N8:N80,"OK")&amp;"   |   Average days taken on received items "&amp;IFERROR(TEXT(AVERAGEIFS(X8:X80,W8:W80,"&lt;&gt;"),"0.0"),"none yet")</f>
        <v>Dependencies 66   |   Not yet raised 66   |   Open 66   |   Closed or received 0   |   Red 0   |   Amber 0   |   Planning risk: Critical 2, At risk 23, Tight 17, OK 24   |   Average days taken on received items none yet</v>
      </c>
    </row>
    <row r="5">
      <c r="A5" s="22" t="s">
        <v>44</v>
      </c>
    </row>
    <row r="6" ht="18.0" customHeight="1">
      <c r="A6" s="23" t="s">
        <v>46</v>
      </c>
      <c r="B6" s="7"/>
      <c r="C6" s="7"/>
      <c r="D6" s="7"/>
      <c r="E6" s="7"/>
      <c r="F6" s="7"/>
      <c r="G6" s="7"/>
      <c r="H6" s="7"/>
      <c r="I6" s="7"/>
      <c r="J6" s="24"/>
      <c r="K6" s="25" t="s">
        <v>51</v>
      </c>
      <c r="L6" s="7"/>
      <c r="M6" s="7"/>
      <c r="N6" s="24"/>
      <c r="O6" s="26" t="s">
        <v>56</v>
      </c>
      <c r="P6" s="7"/>
      <c r="Q6" s="7"/>
      <c r="R6" s="24"/>
      <c r="S6" s="27" t="s">
        <v>61</v>
      </c>
      <c r="T6" s="7"/>
      <c r="U6" s="7"/>
      <c r="V6" s="7"/>
      <c r="W6" s="7"/>
      <c r="X6" s="7"/>
      <c r="Y6" s="7"/>
      <c r="Z6" s="7"/>
      <c r="AA6" s="7"/>
      <c r="AB6" s="7"/>
      <c r="AC6" s="7"/>
      <c r="AD6" s="24"/>
    </row>
    <row r="7" ht="43.5" customHeight="1">
      <c r="A7" s="13" t="s">
        <v>68</v>
      </c>
      <c r="B7" s="13" t="s">
        <v>71</v>
      </c>
      <c r="C7" s="13" t="s">
        <v>72</v>
      </c>
      <c r="D7" s="13" t="s">
        <v>73</v>
      </c>
      <c r="E7" s="13" t="s">
        <v>74</v>
      </c>
      <c r="F7" s="13" t="s">
        <v>75</v>
      </c>
      <c r="G7" s="13" t="s">
        <v>76</v>
      </c>
      <c r="H7" s="13" t="s">
        <v>77</v>
      </c>
      <c r="I7" s="13" t="s">
        <v>78</v>
      </c>
      <c r="J7" s="13" t="s">
        <v>80</v>
      </c>
      <c r="K7" s="13" t="s">
        <v>82</v>
      </c>
      <c r="L7" s="13" t="s">
        <v>84</v>
      </c>
      <c r="M7" s="13" t="s">
        <v>85</v>
      </c>
      <c r="N7" s="13" t="s">
        <v>86</v>
      </c>
      <c r="O7" s="13" t="s">
        <v>87</v>
      </c>
      <c r="P7" s="13" t="s">
        <v>88</v>
      </c>
      <c r="Q7" s="13" t="s">
        <v>89</v>
      </c>
      <c r="R7" s="13" t="s">
        <v>90</v>
      </c>
      <c r="S7" s="28" t="s">
        <v>28</v>
      </c>
      <c r="T7" s="28" t="s">
        <v>95</v>
      </c>
      <c r="U7" s="28" t="s">
        <v>96</v>
      </c>
      <c r="V7" s="28" t="s">
        <v>97</v>
      </c>
      <c r="W7" s="28" t="s">
        <v>98</v>
      </c>
      <c r="X7" s="28" t="s">
        <v>99</v>
      </c>
      <c r="Y7" s="28" t="s">
        <v>100</v>
      </c>
      <c r="Z7" s="28" t="s">
        <v>102</v>
      </c>
      <c r="AA7" s="28" t="s">
        <v>105</v>
      </c>
      <c r="AB7" s="28" t="s">
        <v>107</v>
      </c>
      <c r="AC7" s="28" t="s">
        <v>108</v>
      </c>
      <c r="AD7" s="28" t="s">
        <v>109</v>
      </c>
    </row>
    <row r="8" ht="19.5" customHeight="1">
      <c r="A8" s="15"/>
      <c r="B8" s="15" t="s">
        <v>110</v>
      </c>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row>
    <row r="9" ht="55.5" customHeight="1" outlineLevel="1">
      <c r="A9" s="29" t="s">
        <v>118</v>
      </c>
      <c r="B9" s="30" t="s">
        <v>119</v>
      </c>
      <c r="C9" s="31" t="s">
        <v>122</v>
      </c>
      <c r="D9" s="30" t="s">
        <v>125</v>
      </c>
      <c r="E9" s="30" t="s">
        <v>126</v>
      </c>
      <c r="F9" s="30" t="s">
        <v>127</v>
      </c>
      <c r="G9" s="32" t="s">
        <v>128</v>
      </c>
      <c r="H9" s="33" t="s">
        <v>47</v>
      </c>
      <c r="I9" s="34">
        <v>46307.0</v>
      </c>
      <c r="J9" s="34">
        <v>46325.0</v>
      </c>
      <c r="K9" s="35">
        <v>14.0</v>
      </c>
      <c r="L9" s="35">
        <v>10.0</v>
      </c>
      <c r="M9" s="35">
        <v>30.0</v>
      </c>
      <c r="N9" s="33" t="str">
        <f t="shared" ref="N9:N11" si="1">IF(OR(K9="",L9="",M9=""),"",IF(K9&lt;L9,"Critical",IF(K9&lt;(L9+M9)/2,"At risk",IF(K9&lt;M9,"Tight","OK"))))</f>
        <v>At risk</v>
      </c>
      <c r="O9" s="30"/>
      <c r="P9" s="30" t="s">
        <v>139</v>
      </c>
      <c r="Q9" s="32" t="s">
        <v>140</v>
      </c>
      <c r="R9" s="30" t="s">
        <v>141</v>
      </c>
      <c r="S9" s="33" t="s">
        <v>142</v>
      </c>
      <c r="T9" s="34"/>
      <c r="U9" s="30"/>
      <c r="V9" s="34"/>
      <c r="W9" s="34"/>
      <c r="X9" s="35" t="str">
        <f t="shared" ref="X9:X11" si="2">IF(T9="","",IF(W9&lt;&gt;"",NETWORKDAYS(T9,W9,Holidays)-1,NETWORKDAYS(T9,$C$3,Holidays)-1))</f>
        <v/>
      </c>
      <c r="Y9" s="35" t="str">
        <f t="shared" ref="Y9:Y11" si="3">IF(OR(NOT(ISNUMBER(X9)),W9=""),"",X9-M9)</f>
        <v/>
      </c>
      <c r="Z9" s="35">
        <v>17.0</v>
      </c>
      <c r="AA9" s="33" t="str">
        <f t="shared" ref="AA9:AA11" si="4">IF(OR(S9="Closed",S9="Received",S9="Not applicable"),"Done",IF(S9="Blocked","Red",IF(NOT(ISNUMBER(Z9)),"",IF(Z9&lt;=-2,"Red",IF(OR(Z9&lt;0,AND(ISNUMBER(X9),X9&gt;M9),AND(T9="",$C$3&gt;I9)),"Amber","Green")))))</f>
        <v>Green</v>
      </c>
      <c r="AB9" s="33" t="str">
        <f t="shared" ref="AB9:AB11" si="5">IF(OR(S9="Closed",S9="Received",S9="Not applicable"),"None",IF(T9="",IF($C$3&gt;=I9,"L0: raise now","Not yet due"),IF(AND(ISNUMBER(Z9),Z9&lt;=-5),"L4: executive",IF(OR(S9="Blocked",AND(ISNUMBER(Z9),Z9&lt;=-2),AND(ISNUMBER(X9),X9&gt;M9)),"L3: steering",IF(OR(AND(ISNUMBER(Z9),Z9&lt;=-1),AND(V9&lt;&gt;"",$C$3&gt;V9)),"L2: sponsor",IF(AND(V9="",ISNUMBER(X9),X9&gt;=2),"L1: working session","L0: monitor"))))))</f>
        <v>Not yet due</v>
      </c>
      <c r="AC9" s="34"/>
      <c r="AD9" s="30"/>
    </row>
    <row r="10" ht="42.75" customHeight="1" outlineLevel="1">
      <c r="A10" s="29" t="s">
        <v>176</v>
      </c>
      <c r="B10" s="30" t="s">
        <v>119</v>
      </c>
      <c r="C10" s="31" t="s">
        <v>177</v>
      </c>
      <c r="D10" s="30" t="s">
        <v>178</v>
      </c>
      <c r="E10" s="30" t="s">
        <v>179</v>
      </c>
      <c r="F10" s="30" t="s">
        <v>180</v>
      </c>
      <c r="G10" s="32" t="s">
        <v>128</v>
      </c>
      <c r="H10" s="33" t="s">
        <v>183</v>
      </c>
      <c r="I10" s="34">
        <v>46307.0</v>
      </c>
      <c r="J10" s="34">
        <v>46309.0</v>
      </c>
      <c r="K10" s="35">
        <v>3.0</v>
      </c>
      <c r="L10" s="35">
        <v>1.0</v>
      </c>
      <c r="M10" s="35">
        <v>3.0</v>
      </c>
      <c r="N10" s="33" t="str">
        <f t="shared" si="1"/>
        <v>OK</v>
      </c>
      <c r="O10" s="30"/>
      <c r="P10" s="30" t="s">
        <v>186</v>
      </c>
      <c r="Q10" s="32" t="s">
        <v>187</v>
      </c>
      <c r="R10" s="30" t="s">
        <v>189</v>
      </c>
      <c r="S10" s="33" t="s">
        <v>142</v>
      </c>
      <c r="T10" s="34"/>
      <c r="U10" s="30"/>
      <c r="V10" s="34"/>
      <c r="W10" s="34"/>
      <c r="X10" s="35" t="str">
        <f t="shared" si="2"/>
        <v/>
      </c>
      <c r="Y10" s="35" t="str">
        <f t="shared" si="3"/>
        <v/>
      </c>
      <c r="Z10" s="35">
        <v>6.0</v>
      </c>
      <c r="AA10" s="33" t="str">
        <f t="shared" si="4"/>
        <v>Green</v>
      </c>
      <c r="AB10" s="33" t="str">
        <f t="shared" si="5"/>
        <v>Not yet due</v>
      </c>
      <c r="AC10" s="34"/>
      <c r="AD10" s="30"/>
    </row>
    <row r="11" ht="42.75" customHeight="1" outlineLevel="1">
      <c r="A11" s="29" t="s">
        <v>196</v>
      </c>
      <c r="B11" s="30" t="s">
        <v>119</v>
      </c>
      <c r="C11" s="31" t="s">
        <v>199</v>
      </c>
      <c r="D11" s="30" t="s">
        <v>201</v>
      </c>
      <c r="E11" s="30" t="s">
        <v>202</v>
      </c>
      <c r="F11" s="30" t="s">
        <v>203</v>
      </c>
      <c r="G11" s="30" t="s">
        <v>204</v>
      </c>
      <c r="H11" s="33" t="s">
        <v>151</v>
      </c>
      <c r="I11" s="34">
        <v>46307.0</v>
      </c>
      <c r="J11" s="34">
        <v>46309.0</v>
      </c>
      <c r="K11" s="35">
        <v>3.0</v>
      </c>
      <c r="L11" s="35">
        <v>2.0</v>
      </c>
      <c r="M11" s="35">
        <v>5.0</v>
      </c>
      <c r="N11" s="33" t="str">
        <f t="shared" si="1"/>
        <v>At risk</v>
      </c>
      <c r="O11" s="30"/>
      <c r="P11" s="30" t="s">
        <v>205</v>
      </c>
      <c r="Q11" s="32" t="s">
        <v>140</v>
      </c>
      <c r="R11" s="32" t="s">
        <v>208</v>
      </c>
      <c r="S11" s="33" t="s">
        <v>142</v>
      </c>
      <c r="T11" s="34"/>
      <c r="U11" s="30"/>
      <c r="V11" s="34"/>
      <c r="W11" s="34"/>
      <c r="X11" s="35" t="str">
        <f t="shared" si="2"/>
        <v/>
      </c>
      <c r="Y11" s="35" t="str">
        <f t="shared" si="3"/>
        <v/>
      </c>
      <c r="Z11" s="35">
        <v>6.0</v>
      </c>
      <c r="AA11" s="33" t="str">
        <f t="shared" si="4"/>
        <v>Green</v>
      </c>
      <c r="AB11" s="33" t="str">
        <f t="shared" si="5"/>
        <v>Not yet due</v>
      </c>
      <c r="AC11" s="34"/>
      <c r="AD11" s="30"/>
    </row>
    <row r="12" ht="19.5" customHeight="1">
      <c r="A12" s="15"/>
      <c r="B12" s="15" t="s">
        <v>214</v>
      </c>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row>
    <row r="13" ht="42.75" customHeight="1" outlineLevel="1">
      <c r="A13" s="29" t="s">
        <v>221</v>
      </c>
      <c r="B13" s="30" t="s">
        <v>167</v>
      </c>
      <c r="C13" s="31" t="s">
        <v>223</v>
      </c>
      <c r="D13" s="30" t="s">
        <v>224</v>
      </c>
      <c r="E13" s="30" t="s">
        <v>225</v>
      </c>
      <c r="F13" s="30" t="s">
        <v>226</v>
      </c>
      <c r="G13" s="30" t="s">
        <v>227</v>
      </c>
      <c r="H13" s="33" t="s">
        <v>166</v>
      </c>
      <c r="I13" s="34">
        <v>46307.0</v>
      </c>
      <c r="J13" s="34">
        <v>46309.0</v>
      </c>
      <c r="K13" s="35">
        <v>3.0</v>
      </c>
      <c r="L13" s="35">
        <v>2.0</v>
      </c>
      <c r="M13" s="35">
        <v>5.0</v>
      </c>
      <c r="N13" s="33" t="str">
        <f t="shared" ref="N13:N26" si="6">IF(OR(K13="",L13="",M13=""),"",IF(K13&lt;L13,"Critical",IF(K13&lt;(L13+M13)/2,"At risk",IF(K13&lt;M13,"Tight","OK"))))</f>
        <v>At risk</v>
      </c>
      <c r="O13" s="30"/>
      <c r="P13" s="30" t="s">
        <v>237</v>
      </c>
      <c r="Q13" s="30" t="s">
        <v>239</v>
      </c>
      <c r="R13" s="30" t="s">
        <v>241</v>
      </c>
      <c r="S13" s="33" t="s">
        <v>142</v>
      </c>
      <c r="T13" s="34"/>
      <c r="U13" s="30"/>
      <c r="V13" s="34"/>
      <c r="W13" s="34"/>
      <c r="X13" s="35" t="str">
        <f t="shared" ref="X13:X26" si="7">IF(T13="","",IF(W13&lt;&gt;"",NETWORKDAYS(T13,W13,Holidays)-1,NETWORKDAYS(T13,$C$3,Holidays)-1))</f>
        <v/>
      </c>
      <c r="Y13" s="35" t="str">
        <f t="shared" ref="Y13:Y26" si="8">IF(OR(NOT(ISNUMBER(X13)),W13=""),"",X13-M13)</f>
        <v/>
      </c>
      <c r="Z13" s="35">
        <v>6.0</v>
      </c>
      <c r="AA13" s="33" t="str">
        <f t="shared" ref="AA13:AA26" si="9">IF(OR(S13="Closed",S13="Received",S13="Not applicable"),"Done",IF(S13="Blocked","Red",IF(NOT(ISNUMBER(Z13)),"",IF(Z13&lt;=-2,"Red",IF(OR(Z13&lt;0,AND(ISNUMBER(X13),X13&gt;M13),AND(T13="",$C$3&gt;I13)),"Amber","Green")))))</f>
        <v>Green</v>
      </c>
      <c r="AB13" s="33" t="str">
        <f t="shared" ref="AB13:AB26" si="10">IF(OR(S13="Closed",S13="Received",S13="Not applicable"),"None",IF(T13="",IF($C$3&gt;=I13,"L0: raise now","Not yet due"),IF(AND(ISNUMBER(Z13),Z13&lt;=-5),"L4: executive",IF(OR(S13="Blocked",AND(ISNUMBER(Z13),Z13&lt;=-2),AND(ISNUMBER(X13),X13&gt;M13)),"L3: steering",IF(OR(AND(ISNUMBER(Z13),Z13&lt;=-1),AND(V13&lt;&gt;"",$C$3&gt;V13)),"L2: sponsor",IF(AND(V13="",ISNUMBER(X13),X13&gt;=2),"L1: working session","L0: monitor"))))))</f>
        <v>Not yet due</v>
      </c>
      <c r="AC13" s="34"/>
      <c r="AD13" s="30"/>
    </row>
    <row r="14" ht="42.75" customHeight="1" outlineLevel="1">
      <c r="A14" s="29" t="s">
        <v>278</v>
      </c>
      <c r="B14" s="30" t="s">
        <v>167</v>
      </c>
      <c r="C14" s="31" t="s">
        <v>279</v>
      </c>
      <c r="D14" s="30" t="s">
        <v>280</v>
      </c>
      <c r="E14" s="30" t="s">
        <v>281</v>
      </c>
      <c r="F14" s="30" t="s">
        <v>226</v>
      </c>
      <c r="G14" s="30" t="s">
        <v>227</v>
      </c>
      <c r="H14" s="33" t="s">
        <v>172</v>
      </c>
      <c r="I14" s="34">
        <v>46307.0</v>
      </c>
      <c r="J14" s="34">
        <v>46310.0</v>
      </c>
      <c r="K14" s="35">
        <v>4.0</v>
      </c>
      <c r="L14" s="35">
        <v>3.0</v>
      </c>
      <c r="M14" s="35">
        <v>7.0</v>
      </c>
      <c r="N14" s="33" t="str">
        <f t="shared" si="6"/>
        <v>At risk</v>
      </c>
      <c r="O14" s="30"/>
      <c r="P14" s="30" t="s">
        <v>285</v>
      </c>
      <c r="Q14" s="30" t="s">
        <v>239</v>
      </c>
      <c r="R14" s="30" t="s">
        <v>287</v>
      </c>
      <c r="S14" s="33" t="s">
        <v>142</v>
      </c>
      <c r="T14" s="34"/>
      <c r="U14" s="30"/>
      <c r="V14" s="34"/>
      <c r="W14" s="34"/>
      <c r="X14" s="35" t="str">
        <f t="shared" si="7"/>
        <v/>
      </c>
      <c r="Y14" s="35" t="str">
        <f t="shared" si="8"/>
        <v/>
      </c>
      <c r="Z14" s="35">
        <v>7.0</v>
      </c>
      <c r="AA14" s="33" t="str">
        <f t="shared" si="9"/>
        <v>Green</v>
      </c>
      <c r="AB14" s="33" t="str">
        <f t="shared" si="10"/>
        <v>Not yet due</v>
      </c>
      <c r="AC14" s="34"/>
      <c r="AD14" s="30"/>
    </row>
    <row r="15" ht="55.5" customHeight="1" outlineLevel="1">
      <c r="A15" s="29" t="s">
        <v>295</v>
      </c>
      <c r="B15" s="30" t="s">
        <v>167</v>
      </c>
      <c r="C15" s="31" t="s">
        <v>296</v>
      </c>
      <c r="D15" s="30" t="s">
        <v>299</v>
      </c>
      <c r="E15" s="30" t="s">
        <v>300</v>
      </c>
      <c r="F15" s="30" t="s">
        <v>301</v>
      </c>
      <c r="G15" s="30" t="s">
        <v>227</v>
      </c>
      <c r="H15" s="33" t="s">
        <v>302</v>
      </c>
      <c r="I15" s="34">
        <v>46307.0</v>
      </c>
      <c r="J15" s="34">
        <v>46311.0</v>
      </c>
      <c r="K15" s="35">
        <v>5.0</v>
      </c>
      <c r="L15" s="35">
        <v>3.0</v>
      </c>
      <c r="M15" s="35">
        <v>7.0</v>
      </c>
      <c r="N15" s="33" t="str">
        <f t="shared" si="6"/>
        <v>Tight</v>
      </c>
      <c r="O15" s="30"/>
      <c r="P15" s="30" t="s">
        <v>306</v>
      </c>
      <c r="Q15" s="30" t="s">
        <v>307</v>
      </c>
      <c r="R15" s="30" t="s">
        <v>308</v>
      </c>
      <c r="S15" s="33" t="s">
        <v>142</v>
      </c>
      <c r="T15" s="34"/>
      <c r="U15" s="30"/>
      <c r="V15" s="34"/>
      <c r="W15" s="34"/>
      <c r="X15" s="35" t="str">
        <f t="shared" si="7"/>
        <v/>
      </c>
      <c r="Y15" s="35" t="str">
        <f t="shared" si="8"/>
        <v/>
      </c>
      <c r="Z15" s="35">
        <v>8.0</v>
      </c>
      <c r="AA15" s="33" t="str">
        <f t="shared" si="9"/>
        <v>Green</v>
      </c>
      <c r="AB15" s="33" t="str">
        <f t="shared" si="10"/>
        <v>Not yet due</v>
      </c>
      <c r="AC15" s="34"/>
      <c r="AD15" s="30"/>
    </row>
    <row r="16" ht="55.5" customHeight="1" outlineLevel="1">
      <c r="A16" s="29" t="s">
        <v>313</v>
      </c>
      <c r="B16" s="30" t="s">
        <v>167</v>
      </c>
      <c r="C16" s="31" t="s">
        <v>314</v>
      </c>
      <c r="D16" s="30" t="s">
        <v>315</v>
      </c>
      <c r="E16" s="30" t="s">
        <v>317</v>
      </c>
      <c r="F16" s="30" t="s">
        <v>318</v>
      </c>
      <c r="G16" s="30" t="s">
        <v>227</v>
      </c>
      <c r="H16" s="33" t="s">
        <v>52</v>
      </c>
      <c r="I16" s="34">
        <v>46307.0</v>
      </c>
      <c r="J16" s="34">
        <v>46316.0</v>
      </c>
      <c r="K16" s="35">
        <v>7.0</v>
      </c>
      <c r="L16" s="35">
        <v>5.0</v>
      </c>
      <c r="M16" s="35">
        <v>10.0</v>
      </c>
      <c r="N16" s="33" t="str">
        <f t="shared" si="6"/>
        <v>At risk</v>
      </c>
      <c r="O16" s="30"/>
      <c r="P16" s="30" t="s">
        <v>322</v>
      </c>
      <c r="Q16" s="30" t="s">
        <v>323</v>
      </c>
      <c r="R16" s="30" t="s">
        <v>324</v>
      </c>
      <c r="S16" s="33" t="s">
        <v>142</v>
      </c>
      <c r="T16" s="34"/>
      <c r="U16" s="30"/>
      <c r="V16" s="34"/>
      <c r="W16" s="34"/>
      <c r="X16" s="35" t="str">
        <f t="shared" si="7"/>
        <v/>
      </c>
      <c r="Y16" s="35" t="str">
        <f t="shared" si="8"/>
        <v/>
      </c>
      <c r="Z16" s="35">
        <v>10.0</v>
      </c>
      <c r="AA16" s="33" t="str">
        <f t="shared" si="9"/>
        <v>Green</v>
      </c>
      <c r="AB16" s="33" t="str">
        <f t="shared" si="10"/>
        <v>Not yet due</v>
      </c>
      <c r="AC16" s="34"/>
      <c r="AD16" s="30"/>
    </row>
    <row r="17" ht="55.5" customHeight="1" outlineLevel="1">
      <c r="A17" s="29" t="s">
        <v>331</v>
      </c>
      <c r="B17" s="30" t="s">
        <v>167</v>
      </c>
      <c r="C17" s="31" t="s">
        <v>332</v>
      </c>
      <c r="D17" s="30" t="s">
        <v>333</v>
      </c>
      <c r="E17" s="30" t="s">
        <v>334</v>
      </c>
      <c r="F17" s="30" t="s">
        <v>335</v>
      </c>
      <c r="G17" s="30" t="s">
        <v>227</v>
      </c>
      <c r="H17" s="33" t="s">
        <v>336</v>
      </c>
      <c r="I17" s="34">
        <v>46307.0</v>
      </c>
      <c r="J17" s="34">
        <v>46323.0</v>
      </c>
      <c r="K17" s="35">
        <v>12.0</v>
      </c>
      <c r="L17" s="35">
        <v>10.0</v>
      </c>
      <c r="M17" s="35">
        <v>20.0</v>
      </c>
      <c r="N17" s="33" t="str">
        <f t="shared" si="6"/>
        <v>At risk</v>
      </c>
      <c r="O17" s="30"/>
      <c r="P17" s="30" t="s">
        <v>339</v>
      </c>
      <c r="Q17" s="30" t="s">
        <v>239</v>
      </c>
      <c r="R17" s="30" t="s">
        <v>340</v>
      </c>
      <c r="S17" s="33" t="s">
        <v>142</v>
      </c>
      <c r="T17" s="34"/>
      <c r="U17" s="30"/>
      <c r="V17" s="34"/>
      <c r="W17" s="34"/>
      <c r="X17" s="35" t="str">
        <f t="shared" si="7"/>
        <v/>
      </c>
      <c r="Y17" s="35" t="str">
        <f t="shared" si="8"/>
        <v/>
      </c>
      <c r="Z17" s="35">
        <v>15.0</v>
      </c>
      <c r="AA17" s="33" t="str">
        <f t="shared" si="9"/>
        <v>Green</v>
      </c>
      <c r="AB17" s="33" t="str">
        <f t="shared" si="10"/>
        <v>Not yet due</v>
      </c>
      <c r="AC17" s="34"/>
      <c r="AD17" s="30"/>
    </row>
    <row r="18" ht="42.75" customHeight="1" outlineLevel="1">
      <c r="A18" s="29" t="s">
        <v>353</v>
      </c>
      <c r="B18" s="30" t="s">
        <v>167</v>
      </c>
      <c r="C18" s="31" t="s">
        <v>356</v>
      </c>
      <c r="D18" s="30" t="s">
        <v>357</v>
      </c>
      <c r="E18" s="30" t="s">
        <v>359</v>
      </c>
      <c r="F18" s="30" t="s">
        <v>361</v>
      </c>
      <c r="G18" s="32" t="s">
        <v>128</v>
      </c>
      <c r="H18" s="33"/>
      <c r="I18" s="34">
        <v>46307.0</v>
      </c>
      <c r="J18" s="34">
        <v>46309.0</v>
      </c>
      <c r="K18" s="35">
        <v>3.0</v>
      </c>
      <c r="L18" s="35">
        <v>1.0</v>
      </c>
      <c r="M18" s="35">
        <v>3.0</v>
      </c>
      <c r="N18" s="33" t="str">
        <f t="shared" si="6"/>
        <v>OK</v>
      </c>
      <c r="O18" s="30"/>
      <c r="P18" s="30" t="s">
        <v>363</v>
      </c>
      <c r="Q18" s="30" t="s">
        <v>239</v>
      </c>
      <c r="R18" s="30" t="s">
        <v>366</v>
      </c>
      <c r="S18" s="33" t="s">
        <v>142</v>
      </c>
      <c r="T18" s="34"/>
      <c r="U18" s="30"/>
      <c r="V18" s="34"/>
      <c r="W18" s="34"/>
      <c r="X18" s="35" t="str">
        <f t="shared" si="7"/>
        <v/>
      </c>
      <c r="Y18" s="35" t="str">
        <f t="shared" si="8"/>
        <v/>
      </c>
      <c r="Z18" s="35">
        <v>6.0</v>
      </c>
      <c r="AA18" s="33" t="str">
        <f t="shared" si="9"/>
        <v>Green</v>
      </c>
      <c r="AB18" s="33" t="str">
        <f t="shared" si="10"/>
        <v>Not yet due</v>
      </c>
      <c r="AC18" s="34"/>
      <c r="AD18" s="30"/>
    </row>
    <row r="19" ht="55.5" customHeight="1" outlineLevel="1">
      <c r="A19" s="29" t="s">
        <v>371</v>
      </c>
      <c r="B19" s="30" t="s">
        <v>167</v>
      </c>
      <c r="C19" s="31" t="s">
        <v>372</v>
      </c>
      <c r="D19" s="30" t="s">
        <v>374</v>
      </c>
      <c r="E19" s="30" t="s">
        <v>375</v>
      </c>
      <c r="F19" s="30" t="s">
        <v>377</v>
      </c>
      <c r="G19" s="30" t="s">
        <v>227</v>
      </c>
      <c r="H19" s="33" t="s">
        <v>379</v>
      </c>
      <c r="I19" s="34">
        <v>46309.0</v>
      </c>
      <c r="J19" s="34">
        <v>46318.0</v>
      </c>
      <c r="K19" s="35">
        <v>7.0</v>
      </c>
      <c r="L19" s="35">
        <v>3.0</v>
      </c>
      <c r="M19" s="35">
        <v>7.0</v>
      </c>
      <c r="N19" s="33" t="str">
        <f t="shared" si="6"/>
        <v>OK</v>
      </c>
      <c r="O19" s="30" t="s">
        <v>381</v>
      </c>
      <c r="P19" s="30" t="s">
        <v>382</v>
      </c>
      <c r="Q19" s="30" t="s">
        <v>323</v>
      </c>
      <c r="R19" s="30" t="s">
        <v>383</v>
      </c>
      <c r="S19" s="33" t="s">
        <v>142</v>
      </c>
      <c r="T19" s="34"/>
      <c r="U19" s="30"/>
      <c r="V19" s="34"/>
      <c r="W19" s="34"/>
      <c r="X19" s="35" t="str">
        <f t="shared" si="7"/>
        <v/>
      </c>
      <c r="Y19" s="35" t="str">
        <f t="shared" si="8"/>
        <v/>
      </c>
      <c r="Z19" s="35">
        <v>12.0</v>
      </c>
      <c r="AA19" s="33" t="str">
        <f t="shared" si="9"/>
        <v>Green</v>
      </c>
      <c r="AB19" s="33" t="str">
        <f t="shared" si="10"/>
        <v>Not yet due</v>
      </c>
      <c r="AC19" s="34"/>
      <c r="AD19" s="30"/>
    </row>
    <row r="20" ht="42.75" customHeight="1" outlineLevel="1">
      <c r="A20" s="29" t="s">
        <v>390</v>
      </c>
      <c r="B20" s="30" t="s">
        <v>167</v>
      </c>
      <c r="C20" s="31" t="s">
        <v>391</v>
      </c>
      <c r="D20" s="30" t="s">
        <v>392</v>
      </c>
      <c r="E20" s="30" t="s">
        <v>393</v>
      </c>
      <c r="F20" s="30" t="s">
        <v>318</v>
      </c>
      <c r="G20" s="30" t="s">
        <v>227</v>
      </c>
      <c r="H20" s="33" t="s">
        <v>191</v>
      </c>
      <c r="I20" s="34">
        <v>46316.0</v>
      </c>
      <c r="J20" s="34">
        <v>46325.0</v>
      </c>
      <c r="K20" s="35">
        <v>8.0</v>
      </c>
      <c r="L20" s="35">
        <v>5.0</v>
      </c>
      <c r="M20" s="35">
        <v>10.0</v>
      </c>
      <c r="N20" s="33" t="str">
        <f t="shared" si="6"/>
        <v>Tight</v>
      </c>
      <c r="O20" s="30" t="s">
        <v>398</v>
      </c>
      <c r="P20" s="30" t="s">
        <v>399</v>
      </c>
      <c r="Q20" s="30" t="s">
        <v>323</v>
      </c>
      <c r="R20" s="30" t="s">
        <v>400</v>
      </c>
      <c r="S20" s="33" t="s">
        <v>142</v>
      </c>
      <c r="T20" s="34"/>
      <c r="U20" s="30"/>
      <c r="V20" s="34"/>
      <c r="W20" s="34"/>
      <c r="X20" s="35" t="str">
        <f t="shared" si="7"/>
        <v/>
      </c>
      <c r="Y20" s="35" t="str">
        <f t="shared" si="8"/>
        <v/>
      </c>
      <c r="Z20" s="35">
        <v>17.0</v>
      </c>
      <c r="AA20" s="33" t="str">
        <f t="shared" si="9"/>
        <v>Green</v>
      </c>
      <c r="AB20" s="33" t="str">
        <f t="shared" si="10"/>
        <v>Not yet due</v>
      </c>
      <c r="AC20" s="34"/>
      <c r="AD20" s="30"/>
    </row>
    <row r="21" ht="42.75" customHeight="1" outlineLevel="1">
      <c r="A21" s="29" t="s">
        <v>407</v>
      </c>
      <c r="B21" s="30" t="s">
        <v>167</v>
      </c>
      <c r="C21" s="31" t="s">
        <v>408</v>
      </c>
      <c r="D21" s="30" t="s">
        <v>409</v>
      </c>
      <c r="E21" s="30" t="s">
        <v>410</v>
      </c>
      <c r="F21" s="30" t="s">
        <v>335</v>
      </c>
      <c r="G21" s="30" t="s">
        <v>227</v>
      </c>
      <c r="H21" s="33" t="s">
        <v>411</v>
      </c>
      <c r="I21" s="34">
        <v>46307.0</v>
      </c>
      <c r="J21" s="34">
        <v>46337.0</v>
      </c>
      <c r="K21" s="35">
        <v>20.0</v>
      </c>
      <c r="L21" s="35">
        <v>15.0</v>
      </c>
      <c r="M21" s="35">
        <v>30.0</v>
      </c>
      <c r="N21" s="33" t="str">
        <f t="shared" si="6"/>
        <v>At risk</v>
      </c>
      <c r="O21" s="30"/>
      <c r="P21" s="30" t="s">
        <v>414</v>
      </c>
      <c r="Q21" s="30" t="s">
        <v>239</v>
      </c>
      <c r="R21" s="30" t="s">
        <v>415</v>
      </c>
      <c r="S21" s="33" t="s">
        <v>142</v>
      </c>
      <c r="T21" s="34"/>
      <c r="U21" s="30"/>
      <c r="V21" s="34"/>
      <c r="W21" s="34"/>
      <c r="X21" s="35" t="str">
        <f t="shared" si="7"/>
        <v/>
      </c>
      <c r="Y21" s="35" t="str">
        <f t="shared" si="8"/>
        <v/>
      </c>
      <c r="Z21" s="35">
        <v>23.0</v>
      </c>
      <c r="AA21" s="33" t="str">
        <f t="shared" si="9"/>
        <v>Green</v>
      </c>
      <c r="AB21" s="33" t="str">
        <f t="shared" si="10"/>
        <v>Not yet due</v>
      </c>
      <c r="AC21" s="34"/>
      <c r="AD21" s="30"/>
    </row>
    <row r="22" ht="42.75" customHeight="1" outlineLevel="1">
      <c r="A22" s="29" t="s">
        <v>419</v>
      </c>
      <c r="B22" s="30" t="s">
        <v>167</v>
      </c>
      <c r="C22" s="31" t="s">
        <v>422</v>
      </c>
      <c r="D22" s="30" t="s">
        <v>423</v>
      </c>
      <c r="E22" s="32" t="s">
        <v>425</v>
      </c>
      <c r="F22" s="30" t="s">
        <v>426</v>
      </c>
      <c r="G22" s="30" t="s">
        <v>227</v>
      </c>
      <c r="H22" s="33" t="s">
        <v>427</v>
      </c>
      <c r="I22" s="34">
        <v>46307.0</v>
      </c>
      <c r="J22" s="34">
        <v>46342.0</v>
      </c>
      <c r="K22" s="35">
        <v>23.0</v>
      </c>
      <c r="L22" s="35">
        <v>15.0</v>
      </c>
      <c r="M22" s="35">
        <v>30.0</v>
      </c>
      <c r="N22" s="33" t="str">
        <f t="shared" si="6"/>
        <v>Tight</v>
      </c>
      <c r="O22" s="30" t="s">
        <v>428</v>
      </c>
      <c r="P22" s="30" t="s">
        <v>429</v>
      </c>
      <c r="Q22" s="30" t="s">
        <v>239</v>
      </c>
      <c r="R22" s="30" t="s">
        <v>432</v>
      </c>
      <c r="S22" s="33" t="s">
        <v>142</v>
      </c>
      <c r="T22" s="34"/>
      <c r="U22" s="30"/>
      <c r="V22" s="34"/>
      <c r="W22" s="34"/>
      <c r="X22" s="35" t="str">
        <f t="shared" si="7"/>
        <v/>
      </c>
      <c r="Y22" s="35" t="str">
        <f t="shared" si="8"/>
        <v/>
      </c>
      <c r="Z22" s="35">
        <v>26.0</v>
      </c>
      <c r="AA22" s="33" t="str">
        <f t="shared" si="9"/>
        <v>Green</v>
      </c>
      <c r="AB22" s="33" t="str">
        <f t="shared" si="10"/>
        <v>Not yet due</v>
      </c>
      <c r="AC22" s="34"/>
      <c r="AD22" s="30"/>
    </row>
    <row r="23" ht="55.5" customHeight="1" outlineLevel="1">
      <c r="A23" s="29" t="s">
        <v>441</v>
      </c>
      <c r="B23" s="30" t="s">
        <v>167</v>
      </c>
      <c r="C23" s="31" t="s">
        <v>442</v>
      </c>
      <c r="D23" s="30" t="s">
        <v>443</v>
      </c>
      <c r="E23" s="30" t="s">
        <v>444</v>
      </c>
      <c r="F23" s="30" t="s">
        <v>445</v>
      </c>
      <c r="G23" s="30" t="s">
        <v>227</v>
      </c>
      <c r="H23" s="33" t="s">
        <v>446</v>
      </c>
      <c r="I23" s="34">
        <v>46321.0</v>
      </c>
      <c r="J23" s="34">
        <v>46352.0</v>
      </c>
      <c r="K23" s="35">
        <v>21.0</v>
      </c>
      <c r="L23" s="35">
        <v>7.0</v>
      </c>
      <c r="M23" s="35">
        <v>15.0</v>
      </c>
      <c r="N23" s="33" t="str">
        <f t="shared" si="6"/>
        <v>OK</v>
      </c>
      <c r="O23" s="30"/>
      <c r="P23" s="30" t="s">
        <v>450</v>
      </c>
      <c r="Q23" s="30" t="s">
        <v>323</v>
      </c>
      <c r="R23" s="30" t="s">
        <v>451</v>
      </c>
      <c r="S23" s="33" t="s">
        <v>142</v>
      </c>
      <c r="T23" s="34"/>
      <c r="U23" s="30"/>
      <c r="V23" s="34"/>
      <c r="W23" s="34"/>
      <c r="X23" s="35" t="str">
        <f t="shared" si="7"/>
        <v/>
      </c>
      <c r="Y23" s="35" t="str">
        <f t="shared" si="8"/>
        <v/>
      </c>
      <c r="Z23" s="35">
        <v>33.0</v>
      </c>
      <c r="AA23" s="33" t="str">
        <f t="shared" si="9"/>
        <v>Green</v>
      </c>
      <c r="AB23" s="33" t="str">
        <f t="shared" si="10"/>
        <v>Not yet due</v>
      </c>
      <c r="AC23" s="34"/>
      <c r="AD23" s="30"/>
    </row>
    <row r="24" ht="42.75" customHeight="1" outlineLevel="1">
      <c r="A24" s="29" t="s">
        <v>456</v>
      </c>
      <c r="B24" s="30" t="s">
        <v>167</v>
      </c>
      <c r="C24" s="31" t="s">
        <v>457</v>
      </c>
      <c r="D24" s="30" t="s">
        <v>459</v>
      </c>
      <c r="E24" s="30" t="s">
        <v>460</v>
      </c>
      <c r="F24" s="30" t="s">
        <v>462</v>
      </c>
      <c r="G24" s="30" t="s">
        <v>227</v>
      </c>
      <c r="H24" s="33" t="s">
        <v>219</v>
      </c>
      <c r="I24" s="34">
        <v>46314.0</v>
      </c>
      <c r="J24" s="34">
        <v>46331.0</v>
      </c>
      <c r="K24" s="35">
        <v>13.0</v>
      </c>
      <c r="L24" s="35">
        <v>5.0</v>
      </c>
      <c r="M24" s="35">
        <v>10.0</v>
      </c>
      <c r="N24" s="33" t="str">
        <f t="shared" si="6"/>
        <v>OK</v>
      </c>
      <c r="O24" s="30"/>
      <c r="P24" s="30" t="s">
        <v>465</v>
      </c>
      <c r="Q24" s="30" t="s">
        <v>466</v>
      </c>
      <c r="R24" s="30" t="s">
        <v>467</v>
      </c>
      <c r="S24" s="33" t="s">
        <v>142</v>
      </c>
      <c r="T24" s="34"/>
      <c r="U24" s="30"/>
      <c r="V24" s="34"/>
      <c r="W24" s="34"/>
      <c r="X24" s="35" t="str">
        <f t="shared" si="7"/>
        <v/>
      </c>
      <c r="Y24" s="35" t="str">
        <f t="shared" si="8"/>
        <v/>
      </c>
      <c r="Z24" s="35">
        <v>21.0</v>
      </c>
      <c r="AA24" s="33" t="str">
        <f t="shared" si="9"/>
        <v>Green</v>
      </c>
      <c r="AB24" s="33" t="str">
        <f t="shared" si="10"/>
        <v>Not yet due</v>
      </c>
      <c r="AC24" s="34"/>
      <c r="AD24" s="30"/>
    </row>
    <row r="25" ht="30.0" customHeight="1" outlineLevel="1">
      <c r="A25" s="29" t="s">
        <v>473</v>
      </c>
      <c r="B25" s="30" t="s">
        <v>167</v>
      </c>
      <c r="C25" s="31" t="s">
        <v>474</v>
      </c>
      <c r="D25" s="30" t="s">
        <v>475</v>
      </c>
      <c r="E25" s="30" t="s">
        <v>476</v>
      </c>
      <c r="F25" s="30" t="s">
        <v>226</v>
      </c>
      <c r="G25" s="30" t="s">
        <v>227</v>
      </c>
      <c r="H25" s="33" t="s">
        <v>111</v>
      </c>
      <c r="I25" s="34">
        <v>46307.0</v>
      </c>
      <c r="J25" s="34">
        <v>46325.0</v>
      </c>
      <c r="K25" s="35">
        <v>14.0</v>
      </c>
      <c r="L25" s="35">
        <v>2.0</v>
      </c>
      <c r="M25" s="35">
        <v>5.0</v>
      </c>
      <c r="N25" s="33" t="str">
        <f t="shared" si="6"/>
        <v>OK</v>
      </c>
      <c r="O25" s="30"/>
      <c r="P25" s="30" t="s">
        <v>481</v>
      </c>
      <c r="Q25" s="30" t="s">
        <v>239</v>
      </c>
      <c r="R25" s="30" t="s">
        <v>482</v>
      </c>
      <c r="S25" s="33" t="s">
        <v>142</v>
      </c>
      <c r="T25" s="34"/>
      <c r="U25" s="30"/>
      <c r="V25" s="34"/>
      <c r="W25" s="34"/>
      <c r="X25" s="35" t="str">
        <f t="shared" si="7"/>
        <v/>
      </c>
      <c r="Y25" s="35" t="str">
        <f t="shared" si="8"/>
        <v/>
      </c>
      <c r="Z25" s="35">
        <v>17.0</v>
      </c>
      <c r="AA25" s="33" t="str">
        <f t="shared" si="9"/>
        <v>Green</v>
      </c>
      <c r="AB25" s="33" t="str">
        <f t="shared" si="10"/>
        <v>Not yet due</v>
      </c>
      <c r="AC25" s="34"/>
      <c r="AD25" s="30"/>
    </row>
    <row r="26" ht="30.0" customHeight="1" outlineLevel="1">
      <c r="A26" s="29" t="s">
        <v>486</v>
      </c>
      <c r="B26" s="30" t="s">
        <v>167</v>
      </c>
      <c r="C26" s="31" t="s">
        <v>487</v>
      </c>
      <c r="D26" s="30" t="s">
        <v>488</v>
      </c>
      <c r="E26" s="30" t="s">
        <v>489</v>
      </c>
      <c r="F26" s="30" t="s">
        <v>490</v>
      </c>
      <c r="G26" s="30" t="s">
        <v>227</v>
      </c>
      <c r="H26" s="33" t="s">
        <v>491</v>
      </c>
      <c r="I26" s="34">
        <v>46349.0</v>
      </c>
      <c r="J26" s="34">
        <v>46360.0</v>
      </c>
      <c r="K26" s="35">
        <v>9.0</v>
      </c>
      <c r="L26" s="35">
        <v>5.0</v>
      </c>
      <c r="M26" s="35">
        <v>10.0</v>
      </c>
      <c r="N26" s="33" t="str">
        <f t="shared" si="6"/>
        <v>Tight</v>
      </c>
      <c r="O26" s="30"/>
      <c r="P26" s="30" t="s">
        <v>494</v>
      </c>
      <c r="Q26" s="30" t="s">
        <v>239</v>
      </c>
      <c r="R26" s="30" t="s">
        <v>495</v>
      </c>
      <c r="S26" s="33" t="s">
        <v>142</v>
      </c>
      <c r="T26" s="34"/>
      <c r="U26" s="30"/>
      <c r="V26" s="34"/>
      <c r="W26" s="34"/>
      <c r="X26" s="35" t="str">
        <f t="shared" si="7"/>
        <v/>
      </c>
      <c r="Y26" s="35" t="str">
        <f t="shared" si="8"/>
        <v/>
      </c>
      <c r="Z26" s="35">
        <v>39.0</v>
      </c>
      <c r="AA26" s="33" t="str">
        <f t="shared" si="9"/>
        <v>Green</v>
      </c>
      <c r="AB26" s="33" t="str">
        <f t="shared" si="10"/>
        <v>Not yet due</v>
      </c>
      <c r="AC26" s="34"/>
      <c r="AD26" s="30"/>
    </row>
    <row r="27" ht="19.5" customHeight="1">
      <c r="A27" s="15"/>
      <c r="B27" s="15" t="s">
        <v>498</v>
      </c>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row>
    <row r="28" ht="55.5" customHeight="1" outlineLevel="1">
      <c r="A28" s="29" t="s">
        <v>501</v>
      </c>
      <c r="B28" s="30" t="s">
        <v>502</v>
      </c>
      <c r="C28" s="31" t="s">
        <v>504</v>
      </c>
      <c r="D28" s="30" t="s">
        <v>506</v>
      </c>
      <c r="E28" s="30" t="s">
        <v>508</v>
      </c>
      <c r="F28" s="30" t="s">
        <v>510</v>
      </c>
      <c r="G28" s="30" t="s">
        <v>511</v>
      </c>
      <c r="H28" s="33" t="s">
        <v>229</v>
      </c>
      <c r="I28" s="34">
        <v>46307.0</v>
      </c>
      <c r="J28" s="34">
        <v>46314.0</v>
      </c>
      <c r="K28" s="35">
        <v>6.0</v>
      </c>
      <c r="L28" s="35">
        <v>3.0</v>
      </c>
      <c r="M28" s="35">
        <v>7.0</v>
      </c>
      <c r="N28" s="33" t="str">
        <f t="shared" ref="N28:N31" si="11">IF(OR(K28="",L28="",M28=""),"",IF(K28&lt;L28,"Critical",IF(K28&lt;(L28+M28)/2,"At risk",IF(K28&lt;M28,"Tight","OK"))))</f>
        <v>Tight</v>
      </c>
      <c r="O28" s="30"/>
      <c r="P28" s="30" t="s">
        <v>520</v>
      </c>
      <c r="Q28" s="30" t="s">
        <v>466</v>
      </c>
      <c r="R28" s="30" t="s">
        <v>523</v>
      </c>
      <c r="S28" s="33" t="s">
        <v>142</v>
      </c>
      <c r="T28" s="34"/>
      <c r="U28" s="30"/>
      <c r="V28" s="34"/>
      <c r="W28" s="34"/>
      <c r="X28" s="35" t="str">
        <f t="shared" ref="X28:X31" si="12">IF(T28="","",IF(W28&lt;&gt;"",NETWORKDAYS(T28,W28,Holidays)-1,NETWORKDAYS(T28,$C$3,Holidays)-1))</f>
        <v/>
      </c>
      <c r="Y28" s="35" t="str">
        <f t="shared" ref="Y28:Y31" si="13">IF(OR(NOT(ISNUMBER(X28)),W28=""),"",X28-M28)</f>
        <v/>
      </c>
      <c r="Z28" s="35">
        <v>9.0</v>
      </c>
      <c r="AA28" s="33" t="str">
        <f t="shared" ref="AA28:AA31" si="14">IF(OR(S28="Closed",S28="Received",S28="Not applicable"),"Done",IF(S28="Blocked","Red",IF(NOT(ISNUMBER(Z28)),"",IF(Z28&lt;=-2,"Red",IF(OR(Z28&lt;0,AND(ISNUMBER(X28),X28&gt;M28),AND(T28="",$C$3&gt;I28)),"Amber","Green")))))</f>
        <v>Green</v>
      </c>
      <c r="AB28" s="33" t="str">
        <f t="shared" ref="AB28:AB31" si="15">IF(OR(S28="Closed",S28="Received",S28="Not applicable"),"None",IF(T28="",IF($C$3&gt;=I28,"L0: raise now","Not yet due"),IF(AND(ISNUMBER(Z28),Z28&lt;=-5),"L4: executive",IF(OR(S28="Blocked",AND(ISNUMBER(Z28),Z28&lt;=-2),AND(ISNUMBER(X28),X28&gt;M28)),"L3: steering",IF(OR(AND(ISNUMBER(Z28),Z28&lt;=-1),AND(V28&lt;&gt;"",$C$3&gt;V28)),"L2: sponsor",IF(AND(V28="",ISNUMBER(X28),X28&gt;=2),"L1: working session","L0: monitor"))))))</f>
        <v>Not yet due</v>
      </c>
      <c r="AC28" s="34"/>
      <c r="AD28" s="30"/>
    </row>
    <row r="29" ht="42.75" customHeight="1" outlineLevel="1">
      <c r="A29" s="29" t="s">
        <v>555</v>
      </c>
      <c r="B29" s="30" t="s">
        <v>502</v>
      </c>
      <c r="C29" s="31" t="s">
        <v>556</v>
      </c>
      <c r="D29" s="30" t="s">
        <v>557</v>
      </c>
      <c r="E29" s="30" t="s">
        <v>558</v>
      </c>
      <c r="F29" s="30" t="s">
        <v>559</v>
      </c>
      <c r="G29" s="30" t="s">
        <v>560</v>
      </c>
      <c r="H29" s="33" t="s">
        <v>561</v>
      </c>
      <c r="I29" s="34">
        <v>46307.0</v>
      </c>
      <c r="J29" s="34">
        <v>46325.0</v>
      </c>
      <c r="K29" s="35">
        <v>14.0</v>
      </c>
      <c r="L29" s="35">
        <v>10.0</v>
      </c>
      <c r="M29" s="35">
        <v>20.0</v>
      </c>
      <c r="N29" s="33" t="str">
        <f t="shared" si="11"/>
        <v>At risk</v>
      </c>
      <c r="O29" s="30"/>
      <c r="P29" s="30" t="s">
        <v>563</v>
      </c>
      <c r="Q29" s="30" t="s">
        <v>466</v>
      </c>
      <c r="R29" s="30" t="s">
        <v>564</v>
      </c>
      <c r="S29" s="33" t="s">
        <v>142</v>
      </c>
      <c r="T29" s="34"/>
      <c r="U29" s="30"/>
      <c r="V29" s="34"/>
      <c r="W29" s="34"/>
      <c r="X29" s="35" t="str">
        <f t="shared" si="12"/>
        <v/>
      </c>
      <c r="Y29" s="35" t="str">
        <f t="shared" si="13"/>
        <v/>
      </c>
      <c r="Z29" s="35">
        <v>17.0</v>
      </c>
      <c r="AA29" s="33" t="str">
        <f t="shared" si="14"/>
        <v>Green</v>
      </c>
      <c r="AB29" s="33" t="str">
        <f t="shared" si="15"/>
        <v>Not yet due</v>
      </c>
      <c r="AC29" s="34"/>
      <c r="AD29" s="30"/>
    </row>
    <row r="30" ht="42.75" customHeight="1" outlineLevel="1">
      <c r="A30" s="29" t="s">
        <v>572</v>
      </c>
      <c r="B30" s="30" t="s">
        <v>502</v>
      </c>
      <c r="C30" s="31" t="s">
        <v>573</v>
      </c>
      <c r="D30" s="30" t="s">
        <v>574</v>
      </c>
      <c r="E30" s="30" t="s">
        <v>575</v>
      </c>
      <c r="F30" s="30" t="s">
        <v>576</v>
      </c>
      <c r="G30" s="30" t="s">
        <v>511</v>
      </c>
      <c r="H30" s="33" t="s">
        <v>233</v>
      </c>
      <c r="I30" s="34">
        <v>46316.0</v>
      </c>
      <c r="J30" s="34">
        <v>46344.0</v>
      </c>
      <c r="K30" s="35">
        <v>19.0</v>
      </c>
      <c r="L30" s="35">
        <v>8.0</v>
      </c>
      <c r="M30" s="35">
        <v>15.0</v>
      </c>
      <c r="N30" s="33" t="str">
        <f t="shared" si="11"/>
        <v>OK</v>
      </c>
      <c r="O30" s="30" t="s">
        <v>580</v>
      </c>
      <c r="P30" s="30" t="s">
        <v>581</v>
      </c>
      <c r="Q30" s="30" t="s">
        <v>466</v>
      </c>
      <c r="R30" s="30" t="s">
        <v>582</v>
      </c>
      <c r="S30" s="33" t="s">
        <v>142</v>
      </c>
      <c r="T30" s="34"/>
      <c r="U30" s="30"/>
      <c r="V30" s="34"/>
      <c r="W30" s="34"/>
      <c r="X30" s="35" t="str">
        <f t="shared" si="12"/>
        <v/>
      </c>
      <c r="Y30" s="35" t="str">
        <f t="shared" si="13"/>
        <v/>
      </c>
      <c r="Z30" s="35">
        <v>28.0</v>
      </c>
      <c r="AA30" s="33" t="str">
        <f t="shared" si="14"/>
        <v>Green</v>
      </c>
      <c r="AB30" s="33" t="str">
        <f t="shared" si="15"/>
        <v>Not yet due</v>
      </c>
      <c r="AC30" s="34"/>
      <c r="AD30" s="30"/>
    </row>
    <row r="31" ht="42.75" customHeight="1" outlineLevel="1">
      <c r="A31" s="29" t="s">
        <v>589</v>
      </c>
      <c r="B31" s="30" t="s">
        <v>502</v>
      </c>
      <c r="C31" s="31" t="s">
        <v>590</v>
      </c>
      <c r="D31" s="30" t="s">
        <v>591</v>
      </c>
      <c r="E31" s="30" t="s">
        <v>592</v>
      </c>
      <c r="F31" s="30" t="s">
        <v>510</v>
      </c>
      <c r="G31" s="30" t="s">
        <v>511</v>
      </c>
      <c r="H31" s="33" t="s">
        <v>238</v>
      </c>
      <c r="I31" s="34">
        <v>46345.0</v>
      </c>
      <c r="J31" s="34">
        <v>46352.0</v>
      </c>
      <c r="K31" s="35">
        <v>5.0</v>
      </c>
      <c r="L31" s="35">
        <v>5.0</v>
      </c>
      <c r="M31" s="35">
        <v>10.0</v>
      </c>
      <c r="N31" s="33" t="str">
        <f t="shared" si="11"/>
        <v>At risk</v>
      </c>
      <c r="O31" s="30"/>
      <c r="P31" s="30" t="s">
        <v>596</v>
      </c>
      <c r="Q31" s="30" t="s">
        <v>466</v>
      </c>
      <c r="R31" s="30" t="s">
        <v>598</v>
      </c>
      <c r="S31" s="33" t="s">
        <v>142</v>
      </c>
      <c r="T31" s="34"/>
      <c r="U31" s="30"/>
      <c r="V31" s="34"/>
      <c r="W31" s="34"/>
      <c r="X31" s="35" t="str">
        <f t="shared" si="12"/>
        <v/>
      </c>
      <c r="Y31" s="35" t="str">
        <f t="shared" si="13"/>
        <v/>
      </c>
      <c r="Z31" s="35">
        <v>33.0</v>
      </c>
      <c r="AA31" s="33" t="str">
        <f t="shared" si="14"/>
        <v>Green</v>
      </c>
      <c r="AB31" s="33" t="str">
        <f t="shared" si="15"/>
        <v>Not yet due</v>
      </c>
      <c r="AC31" s="34"/>
      <c r="AD31" s="30"/>
    </row>
    <row r="32" ht="19.5" customHeight="1">
      <c r="A32" s="15"/>
      <c r="B32" s="15" t="s">
        <v>252</v>
      </c>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row>
    <row r="33" ht="42.75" customHeight="1" outlineLevel="1">
      <c r="A33" s="29" t="s">
        <v>607</v>
      </c>
      <c r="B33" s="30" t="s">
        <v>608</v>
      </c>
      <c r="C33" s="31" t="s">
        <v>609</v>
      </c>
      <c r="D33" s="30" t="s">
        <v>610</v>
      </c>
      <c r="E33" s="30" t="s">
        <v>611</v>
      </c>
      <c r="F33" s="30" t="s">
        <v>612</v>
      </c>
      <c r="G33" s="30" t="s">
        <v>560</v>
      </c>
      <c r="H33" s="33" t="s">
        <v>613</v>
      </c>
      <c r="I33" s="34">
        <v>46307.0</v>
      </c>
      <c r="J33" s="34">
        <v>46311.0</v>
      </c>
      <c r="K33" s="35">
        <v>5.0</v>
      </c>
      <c r="L33" s="35">
        <v>3.0</v>
      </c>
      <c r="M33" s="35">
        <v>7.0</v>
      </c>
      <c r="N33" s="33" t="str">
        <f t="shared" ref="N33:N52" si="16">IF(OR(K33="",L33="",M33=""),"",IF(K33&lt;L33,"Critical",IF(K33&lt;(L33+M33)/2,"At risk",IF(K33&lt;M33,"Tight","OK"))))</f>
        <v>Tight</v>
      </c>
      <c r="O33" s="30"/>
      <c r="P33" s="30" t="s">
        <v>622</v>
      </c>
      <c r="Q33" s="30" t="s">
        <v>624</v>
      </c>
      <c r="R33" s="30" t="s">
        <v>625</v>
      </c>
      <c r="S33" s="33" t="s">
        <v>142</v>
      </c>
      <c r="T33" s="34"/>
      <c r="U33" s="30"/>
      <c r="V33" s="34"/>
      <c r="W33" s="34"/>
      <c r="X33" s="35" t="str">
        <f t="shared" ref="X33:X52" si="17">IF(T33="","",IF(W33&lt;&gt;"",NETWORKDAYS(T33,W33,Holidays)-1,NETWORKDAYS(T33,$C$3,Holidays)-1))</f>
        <v/>
      </c>
      <c r="Y33" s="35" t="str">
        <f t="shared" ref="Y33:Y52" si="18">IF(OR(NOT(ISNUMBER(X33)),W33=""),"",X33-M33)</f>
        <v/>
      </c>
      <c r="Z33" s="35">
        <v>8.0</v>
      </c>
      <c r="AA33" s="33" t="str">
        <f t="shared" ref="AA33:AA52" si="19">IF(OR(S33="Closed",S33="Received",S33="Not applicable"),"Done",IF(S33="Blocked","Red",IF(NOT(ISNUMBER(Z33)),"",IF(Z33&lt;=-2,"Red",IF(OR(Z33&lt;0,AND(ISNUMBER(X33),X33&gt;M33),AND(T33="",$C$3&gt;I33)),"Amber","Green")))))</f>
        <v>Green</v>
      </c>
      <c r="AB33" s="33" t="str">
        <f t="shared" ref="AB33:AB52" si="20">IF(OR(S33="Closed",S33="Received",S33="Not applicable"),"None",IF(T33="",IF($C$3&gt;=I33,"L0: raise now","Not yet due"),IF(AND(ISNUMBER(Z33),Z33&lt;=-5),"L4: executive",IF(OR(S33="Blocked",AND(ISNUMBER(Z33),Z33&lt;=-2),AND(ISNUMBER(X33),X33&gt;M33)),"L3: steering",IF(OR(AND(ISNUMBER(Z33),Z33&lt;=-1),AND(V33&lt;&gt;"",$C$3&gt;V33)),"L2: sponsor",IF(AND(V33="",ISNUMBER(X33),X33&gt;=2),"L1: working session","L0: monitor"))))))</f>
        <v>Not yet due</v>
      </c>
      <c r="AC33" s="34"/>
      <c r="AD33" s="30"/>
    </row>
    <row r="34" ht="42.75" customHeight="1" outlineLevel="1">
      <c r="A34" s="29" t="s">
        <v>647</v>
      </c>
      <c r="B34" s="30" t="s">
        <v>608</v>
      </c>
      <c r="C34" s="31" t="s">
        <v>648</v>
      </c>
      <c r="D34" s="30" t="s">
        <v>649</v>
      </c>
      <c r="E34" s="30" t="s">
        <v>650</v>
      </c>
      <c r="F34" s="30" t="s">
        <v>651</v>
      </c>
      <c r="G34" s="30" t="s">
        <v>227</v>
      </c>
      <c r="H34" s="33" t="s">
        <v>157</v>
      </c>
      <c r="I34" s="34">
        <v>46307.0</v>
      </c>
      <c r="J34" s="34">
        <v>46316.0</v>
      </c>
      <c r="K34" s="35">
        <v>7.0</v>
      </c>
      <c r="L34" s="35">
        <v>5.0</v>
      </c>
      <c r="M34" s="35">
        <v>10.0</v>
      </c>
      <c r="N34" s="33" t="str">
        <f t="shared" si="16"/>
        <v>At risk</v>
      </c>
      <c r="O34" s="30"/>
      <c r="P34" s="30" t="s">
        <v>655</v>
      </c>
      <c r="Q34" s="30" t="s">
        <v>323</v>
      </c>
      <c r="R34" s="30" t="s">
        <v>656</v>
      </c>
      <c r="S34" s="33" t="s">
        <v>142</v>
      </c>
      <c r="T34" s="34"/>
      <c r="U34" s="30"/>
      <c r="V34" s="34"/>
      <c r="W34" s="34"/>
      <c r="X34" s="35" t="str">
        <f t="shared" si="17"/>
        <v/>
      </c>
      <c r="Y34" s="35" t="str">
        <f t="shared" si="18"/>
        <v/>
      </c>
      <c r="Z34" s="35">
        <v>10.0</v>
      </c>
      <c r="AA34" s="33" t="str">
        <f t="shared" si="19"/>
        <v>Green</v>
      </c>
      <c r="AB34" s="33" t="str">
        <f t="shared" si="20"/>
        <v>Not yet due</v>
      </c>
      <c r="AC34" s="34"/>
      <c r="AD34" s="30"/>
    </row>
    <row r="35" ht="42.75" customHeight="1" outlineLevel="1">
      <c r="A35" s="29" t="s">
        <v>663</v>
      </c>
      <c r="B35" s="30" t="s">
        <v>608</v>
      </c>
      <c r="C35" s="31" t="s">
        <v>664</v>
      </c>
      <c r="D35" s="30" t="s">
        <v>665</v>
      </c>
      <c r="E35" s="30" t="s">
        <v>666</v>
      </c>
      <c r="F35" s="30" t="s">
        <v>667</v>
      </c>
      <c r="G35" s="30" t="s">
        <v>560</v>
      </c>
      <c r="H35" s="33" t="s">
        <v>668</v>
      </c>
      <c r="I35" s="34">
        <v>46307.0</v>
      </c>
      <c r="J35" s="34">
        <v>46325.0</v>
      </c>
      <c r="K35" s="35">
        <v>14.0</v>
      </c>
      <c r="L35" s="35">
        <v>10.0</v>
      </c>
      <c r="M35" s="35">
        <v>20.0</v>
      </c>
      <c r="N35" s="33" t="str">
        <f t="shared" si="16"/>
        <v>At risk</v>
      </c>
      <c r="O35" s="30" t="s">
        <v>669</v>
      </c>
      <c r="P35" s="30" t="s">
        <v>670</v>
      </c>
      <c r="Q35" s="30" t="s">
        <v>624</v>
      </c>
      <c r="R35" s="30" t="s">
        <v>671</v>
      </c>
      <c r="S35" s="33" t="s">
        <v>142</v>
      </c>
      <c r="T35" s="34"/>
      <c r="U35" s="30"/>
      <c r="V35" s="34"/>
      <c r="W35" s="34"/>
      <c r="X35" s="35" t="str">
        <f t="shared" si="17"/>
        <v/>
      </c>
      <c r="Y35" s="35" t="str">
        <f t="shared" si="18"/>
        <v/>
      </c>
      <c r="Z35" s="35">
        <v>17.0</v>
      </c>
      <c r="AA35" s="33" t="str">
        <f t="shared" si="19"/>
        <v>Green</v>
      </c>
      <c r="AB35" s="33" t="str">
        <f t="shared" si="20"/>
        <v>Not yet due</v>
      </c>
      <c r="AC35" s="34"/>
      <c r="AD35" s="30"/>
    </row>
    <row r="36" ht="42.75" customHeight="1" outlineLevel="1">
      <c r="A36" s="29" t="s">
        <v>675</v>
      </c>
      <c r="B36" s="30" t="s">
        <v>608</v>
      </c>
      <c r="C36" s="31" t="s">
        <v>676</v>
      </c>
      <c r="D36" s="30" t="s">
        <v>677</v>
      </c>
      <c r="E36" s="30" t="s">
        <v>678</v>
      </c>
      <c r="F36" s="30" t="s">
        <v>679</v>
      </c>
      <c r="G36" s="30" t="s">
        <v>560</v>
      </c>
      <c r="H36" s="33" t="s">
        <v>263</v>
      </c>
      <c r="I36" s="34">
        <v>46307.0</v>
      </c>
      <c r="J36" s="34">
        <v>46325.0</v>
      </c>
      <c r="K36" s="35">
        <v>14.0</v>
      </c>
      <c r="L36" s="35">
        <v>7.0</v>
      </c>
      <c r="M36" s="35">
        <v>15.0</v>
      </c>
      <c r="N36" s="33" t="str">
        <f t="shared" si="16"/>
        <v>Tight</v>
      </c>
      <c r="O36" s="30"/>
      <c r="P36" s="30" t="s">
        <v>680</v>
      </c>
      <c r="Q36" s="30" t="s">
        <v>624</v>
      </c>
      <c r="R36" s="30" t="s">
        <v>681</v>
      </c>
      <c r="S36" s="33" t="s">
        <v>142</v>
      </c>
      <c r="T36" s="34"/>
      <c r="U36" s="30"/>
      <c r="V36" s="34"/>
      <c r="W36" s="34"/>
      <c r="X36" s="35" t="str">
        <f t="shared" si="17"/>
        <v/>
      </c>
      <c r="Y36" s="35" t="str">
        <f t="shared" si="18"/>
        <v/>
      </c>
      <c r="Z36" s="35">
        <v>17.0</v>
      </c>
      <c r="AA36" s="33" t="str">
        <f t="shared" si="19"/>
        <v>Green</v>
      </c>
      <c r="AB36" s="33" t="str">
        <f t="shared" si="20"/>
        <v>Not yet due</v>
      </c>
      <c r="AC36" s="34"/>
      <c r="AD36" s="30"/>
    </row>
    <row r="37" ht="42.75" customHeight="1" outlineLevel="1">
      <c r="A37" s="29" t="s">
        <v>682</v>
      </c>
      <c r="B37" s="30" t="s">
        <v>608</v>
      </c>
      <c r="C37" s="31" t="s">
        <v>683</v>
      </c>
      <c r="D37" s="30" t="s">
        <v>684</v>
      </c>
      <c r="E37" s="30" t="s">
        <v>685</v>
      </c>
      <c r="F37" s="30" t="s">
        <v>679</v>
      </c>
      <c r="G37" s="30" t="s">
        <v>560</v>
      </c>
      <c r="H37" s="33" t="s">
        <v>263</v>
      </c>
      <c r="I37" s="34">
        <v>46307.0</v>
      </c>
      <c r="J37" s="34">
        <v>46325.0</v>
      </c>
      <c r="K37" s="35">
        <v>14.0</v>
      </c>
      <c r="L37" s="35">
        <v>7.0</v>
      </c>
      <c r="M37" s="35">
        <v>15.0</v>
      </c>
      <c r="N37" s="33" t="str">
        <f t="shared" si="16"/>
        <v>Tight</v>
      </c>
      <c r="O37" s="30"/>
      <c r="P37" s="30" t="s">
        <v>686</v>
      </c>
      <c r="Q37" s="30" t="s">
        <v>624</v>
      </c>
      <c r="R37" s="30" t="s">
        <v>687</v>
      </c>
      <c r="S37" s="33" t="s">
        <v>142</v>
      </c>
      <c r="T37" s="34"/>
      <c r="U37" s="30"/>
      <c r="V37" s="34"/>
      <c r="W37" s="34"/>
      <c r="X37" s="35" t="str">
        <f t="shared" si="17"/>
        <v/>
      </c>
      <c r="Y37" s="35" t="str">
        <f t="shared" si="18"/>
        <v/>
      </c>
      <c r="Z37" s="35">
        <v>17.0</v>
      </c>
      <c r="AA37" s="33" t="str">
        <f t="shared" si="19"/>
        <v>Green</v>
      </c>
      <c r="AB37" s="33" t="str">
        <f t="shared" si="20"/>
        <v>Not yet due</v>
      </c>
      <c r="AC37" s="34"/>
      <c r="AD37" s="30"/>
    </row>
    <row r="38" ht="42.75" customHeight="1" outlineLevel="1">
      <c r="A38" s="29" t="s">
        <v>688</v>
      </c>
      <c r="B38" s="30" t="s">
        <v>608</v>
      </c>
      <c r="C38" s="31" t="s">
        <v>689</v>
      </c>
      <c r="D38" s="30" t="s">
        <v>690</v>
      </c>
      <c r="E38" s="30" t="s">
        <v>691</v>
      </c>
      <c r="F38" s="30" t="s">
        <v>692</v>
      </c>
      <c r="G38" s="30" t="s">
        <v>560</v>
      </c>
      <c r="H38" s="33" t="s">
        <v>263</v>
      </c>
      <c r="I38" s="34">
        <v>46307.0</v>
      </c>
      <c r="J38" s="34">
        <v>46325.0</v>
      </c>
      <c r="K38" s="35">
        <v>14.0</v>
      </c>
      <c r="L38" s="35">
        <v>10.0</v>
      </c>
      <c r="M38" s="35">
        <v>20.0</v>
      </c>
      <c r="N38" s="33" t="str">
        <f t="shared" si="16"/>
        <v>At risk</v>
      </c>
      <c r="O38" s="30"/>
      <c r="P38" s="30" t="s">
        <v>693</v>
      </c>
      <c r="Q38" s="30" t="s">
        <v>624</v>
      </c>
      <c r="R38" s="30" t="s">
        <v>694</v>
      </c>
      <c r="S38" s="33" t="s">
        <v>142</v>
      </c>
      <c r="T38" s="34"/>
      <c r="U38" s="30"/>
      <c r="V38" s="34"/>
      <c r="W38" s="34"/>
      <c r="X38" s="35" t="str">
        <f t="shared" si="17"/>
        <v/>
      </c>
      <c r="Y38" s="35" t="str">
        <f t="shared" si="18"/>
        <v/>
      </c>
      <c r="Z38" s="35">
        <v>17.0</v>
      </c>
      <c r="AA38" s="33" t="str">
        <f t="shared" si="19"/>
        <v>Green</v>
      </c>
      <c r="AB38" s="33" t="str">
        <f t="shared" si="20"/>
        <v>Not yet due</v>
      </c>
      <c r="AC38" s="34"/>
      <c r="AD38" s="30"/>
    </row>
    <row r="39" ht="42.75" customHeight="1" outlineLevel="1">
      <c r="A39" s="29" t="s">
        <v>695</v>
      </c>
      <c r="B39" s="30" t="s">
        <v>608</v>
      </c>
      <c r="C39" s="31" t="s">
        <v>696</v>
      </c>
      <c r="D39" s="30" t="s">
        <v>697</v>
      </c>
      <c r="E39" s="30" t="s">
        <v>698</v>
      </c>
      <c r="F39" s="30" t="s">
        <v>699</v>
      </c>
      <c r="G39" s="30" t="s">
        <v>560</v>
      </c>
      <c r="H39" s="33" t="s">
        <v>565</v>
      </c>
      <c r="I39" s="34">
        <v>46307.0</v>
      </c>
      <c r="J39" s="34">
        <v>46325.0</v>
      </c>
      <c r="K39" s="35">
        <v>14.0</v>
      </c>
      <c r="L39" s="35">
        <v>10.0</v>
      </c>
      <c r="M39" s="35">
        <v>20.0</v>
      </c>
      <c r="N39" s="33" t="str">
        <f t="shared" si="16"/>
        <v>At risk</v>
      </c>
      <c r="O39" s="30" t="s">
        <v>700</v>
      </c>
      <c r="P39" s="30" t="s">
        <v>701</v>
      </c>
      <c r="Q39" s="30" t="s">
        <v>702</v>
      </c>
      <c r="R39" s="30" t="s">
        <v>703</v>
      </c>
      <c r="S39" s="33" t="s">
        <v>142</v>
      </c>
      <c r="T39" s="34"/>
      <c r="U39" s="30"/>
      <c r="V39" s="34"/>
      <c r="W39" s="34"/>
      <c r="X39" s="35" t="str">
        <f t="shared" si="17"/>
        <v/>
      </c>
      <c r="Y39" s="35" t="str">
        <f t="shared" si="18"/>
        <v/>
      </c>
      <c r="Z39" s="35">
        <v>17.0</v>
      </c>
      <c r="AA39" s="33" t="str">
        <f t="shared" si="19"/>
        <v>Green</v>
      </c>
      <c r="AB39" s="33" t="str">
        <f t="shared" si="20"/>
        <v>Not yet due</v>
      </c>
      <c r="AC39" s="34"/>
      <c r="AD39" s="30"/>
    </row>
    <row r="40" ht="55.5" customHeight="1" outlineLevel="1">
      <c r="A40" s="29" t="s">
        <v>704</v>
      </c>
      <c r="B40" s="30" t="s">
        <v>608</v>
      </c>
      <c r="C40" s="31" t="s">
        <v>705</v>
      </c>
      <c r="D40" s="30" t="s">
        <v>706</v>
      </c>
      <c r="E40" s="30" t="s">
        <v>707</v>
      </c>
      <c r="F40" s="30" t="s">
        <v>708</v>
      </c>
      <c r="G40" s="30" t="s">
        <v>560</v>
      </c>
      <c r="H40" s="33" t="s">
        <v>552</v>
      </c>
      <c r="I40" s="34">
        <v>46307.0</v>
      </c>
      <c r="J40" s="34">
        <v>46325.0</v>
      </c>
      <c r="K40" s="35">
        <v>14.0</v>
      </c>
      <c r="L40" s="35">
        <v>15.0</v>
      </c>
      <c r="M40" s="35">
        <v>30.0</v>
      </c>
      <c r="N40" s="33" t="str">
        <f t="shared" si="16"/>
        <v>Critical</v>
      </c>
      <c r="O40" s="30" t="s">
        <v>712</v>
      </c>
      <c r="P40" s="30" t="s">
        <v>713</v>
      </c>
      <c r="Q40" s="30" t="s">
        <v>702</v>
      </c>
      <c r="R40" s="30" t="s">
        <v>714</v>
      </c>
      <c r="S40" s="33" t="s">
        <v>142</v>
      </c>
      <c r="T40" s="34"/>
      <c r="U40" s="30"/>
      <c r="V40" s="34"/>
      <c r="W40" s="34"/>
      <c r="X40" s="35" t="str">
        <f t="shared" si="17"/>
        <v/>
      </c>
      <c r="Y40" s="35" t="str">
        <f t="shared" si="18"/>
        <v/>
      </c>
      <c r="Z40" s="35">
        <v>17.0</v>
      </c>
      <c r="AA40" s="33" t="str">
        <f t="shared" si="19"/>
        <v>Green</v>
      </c>
      <c r="AB40" s="33" t="str">
        <f t="shared" si="20"/>
        <v>Not yet due</v>
      </c>
      <c r="AC40" s="34"/>
      <c r="AD40" s="30"/>
    </row>
    <row r="41" ht="42.75" customHeight="1" outlineLevel="1">
      <c r="A41" s="29" t="s">
        <v>717</v>
      </c>
      <c r="B41" s="30" t="s">
        <v>608</v>
      </c>
      <c r="C41" s="31" t="s">
        <v>718</v>
      </c>
      <c r="D41" s="30" t="s">
        <v>719</v>
      </c>
      <c r="E41" s="30" t="s">
        <v>720</v>
      </c>
      <c r="F41" s="30" t="s">
        <v>721</v>
      </c>
      <c r="G41" s="30" t="s">
        <v>560</v>
      </c>
      <c r="H41" s="33" t="s">
        <v>722</v>
      </c>
      <c r="I41" s="34">
        <v>46307.0</v>
      </c>
      <c r="J41" s="34">
        <v>46325.0</v>
      </c>
      <c r="K41" s="35">
        <v>14.0</v>
      </c>
      <c r="L41" s="35">
        <v>10.0</v>
      </c>
      <c r="M41" s="35">
        <v>20.0</v>
      </c>
      <c r="N41" s="33" t="str">
        <f t="shared" si="16"/>
        <v>At risk</v>
      </c>
      <c r="O41" s="30"/>
      <c r="P41" s="30" t="s">
        <v>726</v>
      </c>
      <c r="Q41" s="30" t="s">
        <v>624</v>
      </c>
      <c r="R41" s="30" t="s">
        <v>727</v>
      </c>
      <c r="S41" s="33" t="s">
        <v>142</v>
      </c>
      <c r="T41" s="34"/>
      <c r="U41" s="30"/>
      <c r="V41" s="34"/>
      <c r="W41" s="34"/>
      <c r="X41" s="35" t="str">
        <f t="shared" si="17"/>
        <v/>
      </c>
      <c r="Y41" s="35" t="str">
        <f t="shared" si="18"/>
        <v/>
      </c>
      <c r="Z41" s="35">
        <v>17.0</v>
      </c>
      <c r="AA41" s="33" t="str">
        <f t="shared" si="19"/>
        <v>Green</v>
      </c>
      <c r="AB41" s="33" t="str">
        <f t="shared" si="20"/>
        <v>Not yet due</v>
      </c>
      <c r="AC41" s="34"/>
      <c r="AD41" s="30"/>
    </row>
    <row r="42" ht="42.75" customHeight="1" outlineLevel="1">
      <c r="A42" s="29" t="s">
        <v>731</v>
      </c>
      <c r="B42" s="30" t="s">
        <v>608</v>
      </c>
      <c r="C42" s="31" t="s">
        <v>733</v>
      </c>
      <c r="D42" s="30" t="s">
        <v>735</v>
      </c>
      <c r="E42" s="30" t="s">
        <v>736</v>
      </c>
      <c r="F42" s="30" t="s">
        <v>738</v>
      </c>
      <c r="G42" s="30" t="s">
        <v>560</v>
      </c>
      <c r="H42" s="33" t="s">
        <v>739</v>
      </c>
      <c r="I42" s="34">
        <v>46307.0</v>
      </c>
      <c r="J42" s="34">
        <v>46325.0</v>
      </c>
      <c r="K42" s="35">
        <v>14.0</v>
      </c>
      <c r="L42" s="35">
        <v>10.0</v>
      </c>
      <c r="M42" s="35">
        <v>25.0</v>
      </c>
      <c r="N42" s="33" t="str">
        <f t="shared" si="16"/>
        <v>At risk</v>
      </c>
      <c r="O42" s="30"/>
      <c r="P42" s="30" t="s">
        <v>740</v>
      </c>
      <c r="Q42" s="30" t="s">
        <v>741</v>
      </c>
      <c r="R42" s="30" t="s">
        <v>742</v>
      </c>
      <c r="S42" s="33" t="s">
        <v>142</v>
      </c>
      <c r="T42" s="34"/>
      <c r="U42" s="30"/>
      <c r="V42" s="34"/>
      <c r="W42" s="34"/>
      <c r="X42" s="35" t="str">
        <f t="shared" si="17"/>
        <v/>
      </c>
      <c r="Y42" s="35" t="str">
        <f t="shared" si="18"/>
        <v/>
      </c>
      <c r="Z42" s="35">
        <v>17.0</v>
      </c>
      <c r="AA42" s="33" t="str">
        <f t="shared" si="19"/>
        <v>Green</v>
      </c>
      <c r="AB42" s="33" t="str">
        <f t="shared" si="20"/>
        <v>Not yet due</v>
      </c>
      <c r="AC42" s="34"/>
      <c r="AD42" s="30"/>
    </row>
    <row r="43" ht="42.75" customHeight="1" outlineLevel="1">
      <c r="A43" s="29" t="s">
        <v>748</v>
      </c>
      <c r="B43" s="30" t="s">
        <v>608</v>
      </c>
      <c r="C43" s="31" t="s">
        <v>272</v>
      </c>
      <c r="D43" s="30" t="s">
        <v>749</v>
      </c>
      <c r="E43" s="30" t="s">
        <v>750</v>
      </c>
      <c r="F43" s="30" t="s">
        <v>751</v>
      </c>
      <c r="G43" s="30" t="s">
        <v>560</v>
      </c>
      <c r="H43" s="33" t="s">
        <v>752</v>
      </c>
      <c r="I43" s="34">
        <v>46307.0</v>
      </c>
      <c r="J43" s="34">
        <v>46325.0</v>
      </c>
      <c r="K43" s="35">
        <v>14.0</v>
      </c>
      <c r="L43" s="35">
        <v>7.0</v>
      </c>
      <c r="M43" s="35">
        <v>15.0</v>
      </c>
      <c r="N43" s="33" t="str">
        <f t="shared" si="16"/>
        <v>Tight</v>
      </c>
      <c r="O43" s="30" t="s">
        <v>753</v>
      </c>
      <c r="P43" s="30" t="s">
        <v>754</v>
      </c>
      <c r="Q43" s="30" t="s">
        <v>624</v>
      </c>
      <c r="R43" s="30" t="s">
        <v>756</v>
      </c>
      <c r="S43" s="33" t="s">
        <v>142</v>
      </c>
      <c r="T43" s="34"/>
      <c r="U43" s="30"/>
      <c r="V43" s="34"/>
      <c r="W43" s="34"/>
      <c r="X43" s="35" t="str">
        <f t="shared" si="17"/>
        <v/>
      </c>
      <c r="Y43" s="35" t="str">
        <f t="shared" si="18"/>
        <v/>
      </c>
      <c r="Z43" s="35">
        <v>17.0</v>
      </c>
      <c r="AA43" s="33" t="str">
        <f t="shared" si="19"/>
        <v>Green</v>
      </c>
      <c r="AB43" s="33" t="str">
        <f t="shared" si="20"/>
        <v>Not yet due</v>
      </c>
      <c r="AC43" s="34"/>
      <c r="AD43" s="30"/>
    </row>
    <row r="44" ht="42.75" customHeight="1" outlineLevel="1">
      <c r="A44" s="29" t="s">
        <v>757</v>
      </c>
      <c r="B44" s="30" t="s">
        <v>608</v>
      </c>
      <c r="C44" s="31" t="s">
        <v>758</v>
      </c>
      <c r="D44" s="30" t="s">
        <v>759</v>
      </c>
      <c r="E44" s="30" t="s">
        <v>760</v>
      </c>
      <c r="F44" s="30" t="s">
        <v>761</v>
      </c>
      <c r="G44" s="30" t="s">
        <v>560</v>
      </c>
      <c r="H44" s="33" t="s">
        <v>273</v>
      </c>
      <c r="I44" s="34">
        <v>46307.0</v>
      </c>
      <c r="J44" s="34">
        <v>46325.0</v>
      </c>
      <c r="K44" s="35">
        <v>14.0</v>
      </c>
      <c r="L44" s="35">
        <v>5.0</v>
      </c>
      <c r="M44" s="35">
        <v>12.0</v>
      </c>
      <c r="N44" s="33" t="str">
        <f t="shared" si="16"/>
        <v>OK</v>
      </c>
      <c r="O44" s="30" t="s">
        <v>762</v>
      </c>
      <c r="P44" s="30" t="s">
        <v>763</v>
      </c>
      <c r="Q44" s="30" t="s">
        <v>764</v>
      </c>
      <c r="R44" s="30" t="s">
        <v>765</v>
      </c>
      <c r="S44" s="33" t="s">
        <v>142</v>
      </c>
      <c r="T44" s="34"/>
      <c r="U44" s="30"/>
      <c r="V44" s="34"/>
      <c r="W44" s="34"/>
      <c r="X44" s="35" t="str">
        <f t="shared" si="17"/>
        <v/>
      </c>
      <c r="Y44" s="35" t="str">
        <f t="shared" si="18"/>
        <v/>
      </c>
      <c r="Z44" s="35">
        <v>17.0</v>
      </c>
      <c r="AA44" s="33" t="str">
        <f t="shared" si="19"/>
        <v>Green</v>
      </c>
      <c r="AB44" s="33" t="str">
        <f t="shared" si="20"/>
        <v>Not yet due</v>
      </c>
      <c r="AC44" s="34"/>
      <c r="AD44" s="30"/>
    </row>
    <row r="45" ht="42.75" customHeight="1" outlineLevel="1">
      <c r="A45" s="29" t="s">
        <v>772</v>
      </c>
      <c r="B45" s="30" t="s">
        <v>608</v>
      </c>
      <c r="C45" s="31" t="s">
        <v>773</v>
      </c>
      <c r="D45" s="30" t="s">
        <v>774</v>
      </c>
      <c r="E45" s="30" t="s">
        <v>775</v>
      </c>
      <c r="F45" s="30" t="s">
        <v>776</v>
      </c>
      <c r="G45" s="30" t="s">
        <v>560</v>
      </c>
      <c r="H45" s="33" t="s">
        <v>273</v>
      </c>
      <c r="I45" s="34">
        <v>46309.0</v>
      </c>
      <c r="J45" s="34">
        <v>46325.0</v>
      </c>
      <c r="K45" s="35">
        <v>12.0</v>
      </c>
      <c r="L45" s="35">
        <v>3.0</v>
      </c>
      <c r="M45" s="35">
        <v>7.0</v>
      </c>
      <c r="N45" s="33" t="str">
        <f t="shared" si="16"/>
        <v>OK</v>
      </c>
      <c r="O45" s="30" t="s">
        <v>779</v>
      </c>
      <c r="P45" s="30" t="s">
        <v>780</v>
      </c>
      <c r="Q45" s="30" t="s">
        <v>764</v>
      </c>
      <c r="R45" s="30" t="s">
        <v>781</v>
      </c>
      <c r="S45" s="33" t="s">
        <v>142</v>
      </c>
      <c r="T45" s="34"/>
      <c r="U45" s="30"/>
      <c r="V45" s="34"/>
      <c r="W45" s="34"/>
      <c r="X45" s="35" t="str">
        <f t="shared" si="17"/>
        <v/>
      </c>
      <c r="Y45" s="35" t="str">
        <f t="shared" si="18"/>
        <v/>
      </c>
      <c r="Z45" s="35">
        <v>17.0</v>
      </c>
      <c r="AA45" s="33" t="str">
        <f t="shared" si="19"/>
        <v>Green</v>
      </c>
      <c r="AB45" s="33" t="str">
        <f t="shared" si="20"/>
        <v>Not yet due</v>
      </c>
      <c r="AC45" s="34"/>
      <c r="AD45" s="30"/>
    </row>
    <row r="46" ht="42.75" customHeight="1" outlineLevel="1">
      <c r="A46" s="29" t="s">
        <v>785</v>
      </c>
      <c r="B46" s="30" t="s">
        <v>608</v>
      </c>
      <c r="C46" s="31" t="s">
        <v>786</v>
      </c>
      <c r="D46" s="30" t="s">
        <v>787</v>
      </c>
      <c r="E46" s="30" t="s">
        <v>788</v>
      </c>
      <c r="F46" s="30" t="s">
        <v>789</v>
      </c>
      <c r="G46" s="30" t="s">
        <v>560</v>
      </c>
      <c r="H46" s="33" t="s">
        <v>273</v>
      </c>
      <c r="I46" s="34">
        <v>46307.0</v>
      </c>
      <c r="J46" s="34">
        <v>46325.0</v>
      </c>
      <c r="K46" s="35">
        <v>14.0</v>
      </c>
      <c r="L46" s="35">
        <v>3.0</v>
      </c>
      <c r="M46" s="35">
        <v>8.0</v>
      </c>
      <c r="N46" s="33" t="str">
        <f t="shared" si="16"/>
        <v>OK</v>
      </c>
      <c r="O46" s="30"/>
      <c r="P46" s="30" t="s">
        <v>790</v>
      </c>
      <c r="Q46" s="30" t="s">
        <v>764</v>
      </c>
      <c r="R46" s="30" t="s">
        <v>791</v>
      </c>
      <c r="S46" s="33" t="s">
        <v>142</v>
      </c>
      <c r="T46" s="34"/>
      <c r="U46" s="30"/>
      <c r="V46" s="34"/>
      <c r="W46" s="34"/>
      <c r="X46" s="35" t="str">
        <f t="shared" si="17"/>
        <v/>
      </c>
      <c r="Y46" s="35" t="str">
        <f t="shared" si="18"/>
        <v/>
      </c>
      <c r="Z46" s="35">
        <v>17.0</v>
      </c>
      <c r="AA46" s="33" t="str">
        <f t="shared" si="19"/>
        <v>Green</v>
      </c>
      <c r="AB46" s="33" t="str">
        <f t="shared" si="20"/>
        <v>Not yet due</v>
      </c>
      <c r="AC46" s="34"/>
      <c r="AD46" s="30"/>
    </row>
    <row r="47" ht="42.75" customHeight="1" outlineLevel="1">
      <c r="A47" s="29" t="s">
        <v>797</v>
      </c>
      <c r="B47" s="30" t="s">
        <v>608</v>
      </c>
      <c r="C47" s="31" t="s">
        <v>799</v>
      </c>
      <c r="D47" s="30" t="s">
        <v>800</v>
      </c>
      <c r="E47" s="30" t="s">
        <v>801</v>
      </c>
      <c r="F47" s="30" t="s">
        <v>802</v>
      </c>
      <c r="G47" s="30" t="s">
        <v>560</v>
      </c>
      <c r="H47" s="33" t="s">
        <v>273</v>
      </c>
      <c r="I47" s="34">
        <v>46307.0</v>
      </c>
      <c r="J47" s="34">
        <v>46325.0</v>
      </c>
      <c r="K47" s="35">
        <v>14.0</v>
      </c>
      <c r="L47" s="35">
        <v>10.0</v>
      </c>
      <c r="M47" s="35">
        <v>20.0</v>
      </c>
      <c r="N47" s="33" t="str">
        <f t="shared" si="16"/>
        <v>At risk</v>
      </c>
      <c r="O47" s="32" t="s">
        <v>803</v>
      </c>
      <c r="P47" s="30" t="s">
        <v>804</v>
      </c>
      <c r="Q47" s="30" t="s">
        <v>764</v>
      </c>
      <c r="R47" s="30" t="s">
        <v>805</v>
      </c>
      <c r="S47" s="33" t="s">
        <v>142</v>
      </c>
      <c r="T47" s="34"/>
      <c r="U47" s="30"/>
      <c r="V47" s="34"/>
      <c r="W47" s="34"/>
      <c r="X47" s="35" t="str">
        <f t="shared" si="17"/>
        <v/>
      </c>
      <c r="Y47" s="35" t="str">
        <f t="shared" si="18"/>
        <v/>
      </c>
      <c r="Z47" s="35">
        <v>17.0</v>
      </c>
      <c r="AA47" s="33" t="str">
        <f t="shared" si="19"/>
        <v>Green</v>
      </c>
      <c r="AB47" s="33" t="str">
        <f t="shared" si="20"/>
        <v>Not yet due</v>
      </c>
      <c r="AC47" s="34"/>
      <c r="AD47" s="30"/>
    </row>
    <row r="48" ht="42.75" customHeight="1" outlineLevel="1">
      <c r="A48" s="29" t="s">
        <v>810</v>
      </c>
      <c r="B48" s="30" t="s">
        <v>608</v>
      </c>
      <c r="C48" s="31" t="s">
        <v>811</v>
      </c>
      <c r="D48" s="30" t="s">
        <v>812</v>
      </c>
      <c r="E48" s="30" t="s">
        <v>813</v>
      </c>
      <c r="F48" s="30" t="s">
        <v>814</v>
      </c>
      <c r="G48" s="30" t="s">
        <v>560</v>
      </c>
      <c r="H48" s="33" t="s">
        <v>815</v>
      </c>
      <c r="I48" s="34">
        <v>46309.0</v>
      </c>
      <c r="J48" s="34">
        <v>46325.0</v>
      </c>
      <c r="K48" s="35">
        <v>12.0</v>
      </c>
      <c r="L48" s="35">
        <v>5.0</v>
      </c>
      <c r="M48" s="35">
        <v>10.0</v>
      </c>
      <c r="N48" s="33" t="str">
        <f t="shared" si="16"/>
        <v>OK</v>
      </c>
      <c r="O48" s="30"/>
      <c r="P48" s="30" t="s">
        <v>818</v>
      </c>
      <c r="Q48" s="30" t="s">
        <v>239</v>
      </c>
      <c r="R48" s="30" t="s">
        <v>819</v>
      </c>
      <c r="S48" s="33" t="s">
        <v>142</v>
      </c>
      <c r="T48" s="34"/>
      <c r="U48" s="30"/>
      <c r="V48" s="34"/>
      <c r="W48" s="34"/>
      <c r="X48" s="35" t="str">
        <f t="shared" si="17"/>
        <v/>
      </c>
      <c r="Y48" s="35" t="str">
        <f t="shared" si="18"/>
        <v/>
      </c>
      <c r="Z48" s="35">
        <v>17.0</v>
      </c>
      <c r="AA48" s="33" t="str">
        <f t="shared" si="19"/>
        <v>Green</v>
      </c>
      <c r="AB48" s="33" t="str">
        <f t="shared" si="20"/>
        <v>Not yet due</v>
      </c>
      <c r="AC48" s="34"/>
      <c r="AD48" s="30"/>
    </row>
    <row r="49" ht="42.75" customHeight="1" outlineLevel="1">
      <c r="A49" s="29" t="s">
        <v>825</v>
      </c>
      <c r="B49" s="30" t="s">
        <v>608</v>
      </c>
      <c r="C49" s="31" t="s">
        <v>826</v>
      </c>
      <c r="D49" s="30" t="s">
        <v>827</v>
      </c>
      <c r="E49" s="30" t="s">
        <v>828</v>
      </c>
      <c r="F49" s="30" t="s">
        <v>829</v>
      </c>
      <c r="G49" s="30" t="s">
        <v>560</v>
      </c>
      <c r="H49" s="33" t="s">
        <v>276</v>
      </c>
      <c r="I49" s="34">
        <v>46307.0</v>
      </c>
      <c r="J49" s="34">
        <v>46318.0</v>
      </c>
      <c r="K49" s="35">
        <v>9.0</v>
      </c>
      <c r="L49" s="35">
        <v>7.0</v>
      </c>
      <c r="M49" s="35">
        <v>15.0</v>
      </c>
      <c r="N49" s="33" t="str">
        <f t="shared" si="16"/>
        <v>At risk</v>
      </c>
      <c r="O49" s="30" t="s">
        <v>830</v>
      </c>
      <c r="P49" s="30" t="s">
        <v>831</v>
      </c>
      <c r="Q49" s="30" t="s">
        <v>624</v>
      </c>
      <c r="R49" s="30" t="s">
        <v>833</v>
      </c>
      <c r="S49" s="33" t="s">
        <v>142</v>
      </c>
      <c r="T49" s="34"/>
      <c r="U49" s="30"/>
      <c r="V49" s="34"/>
      <c r="W49" s="34"/>
      <c r="X49" s="35" t="str">
        <f t="shared" si="17"/>
        <v/>
      </c>
      <c r="Y49" s="35" t="str">
        <f t="shared" si="18"/>
        <v/>
      </c>
      <c r="Z49" s="35">
        <v>12.0</v>
      </c>
      <c r="AA49" s="33" t="str">
        <f t="shared" si="19"/>
        <v>Green</v>
      </c>
      <c r="AB49" s="33" t="str">
        <f t="shared" si="20"/>
        <v>Not yet due</v>
      </c>
      <c r="AC49" s="34"/>
      <c r="AD49" s="30"/>
    </row>
    <row r="50" ht="42.75" customHeight="1" outlineLevel="1">
      <c r="A50" s="29" t="s">
        <v>837</v>
      </c>
      <c r="B50" s="30" t="s">
        <v>608</v>
      </c>
      <c r="C50" s="31" t="s">
        <v>838</v>
      </c>
      <c r="D50" s="30" t="s">
        <v>839</v>
      </c>
      <c r="E50" s="30" t="s">
        <v>840</v>
      </c>
      <c r="F50" s="30" t="s">
        <v>841</v>
      </c>
      <c r="G50" s="30" t="s">
        <v>560</v>
      </c>
      <c r="H50" s="33" t="s">
        <v>292</v>
      </c>
      <c r="I50" s="34">
        <v>46307.0</v>
      </c>
      <c r="J50" s="34">
        <v>46316.0</v>
      </c>
      <c r="K50" s="35">
        <v>7.0</v>
      </c>
      <c r="L50" s="35">
        <v>3.0</v>
      </c>
      <c r="M50" s="35">
        <v>7.0</v>
      </c>
      <c r="N50" s="33" t="str">
        <f t="shared" si="16"/>
        <v>OK</v>
      </c>
      <c r="O50" s="30"/>
      <c r="P50" s="30" t="s">
        <v>842</v>
      </c>
      <c r="Q50" s="30" t="s">
        <v>624</v>
      </c>
      <c r="R50" s="30" t="s">
        <v>844</v>
      </c>
      <c r="S50" s="33" t="s">
        <v>142</v>
      </c>
      <c r="T50" s="34"/>
      <c r="U50" s="30"/>
      <c r="V50" s="34"/>
      <c r="W50" s="34"/>
      <c r="X50" s="35" t="str">
        <f t="shared" si="17"/>
        <v/>
      </c>
      <c r="Y50" s="35" t="str">
        <f t="shared" si="18"/>
        <v/>
      </c>
      <c r="Z50" s="35">
        <v>10.0</v>
      </c>
      <c r="AA50" s="33" t="str">
        <f t="shared" si="19"/>
        <v>Green</v>
      </c>
      <c r="AB50" s="33" t="str">
        <f t="shared" si="20"/>
        <v>Not yet due</v>
      </c>
      <c r="AC50" s="34"/>
      <c r="AD50" s="30"/>
    </row>
    <row r="51" ht="42.75" customHeight="1" outlineLevel="1">
      <c r="A51" s="29" t="s">
        <v>849</v>
      </c>
      <c r="B51" s="30" t="s">
        <v>608</v>
      </c>
      <c r="C51" s="40" t="s">
        <v>853</v>
      </c>
      <c r="D51" s="30" t="s">
        <v>854</v>
      </c>
      <c r="E51" s="30" t="s">
        <v>855</v>
      </c>
      <c r="F51" s="30" t="s">
        <v>857</v>
      </c>
      <c r="G51" s="30" t="s">
        <v>560</v>
      </c>
      <c r="H51" s="33" t="s">
        <v>503</v>
      </c>
      <c r="I51" s="34">
        <v>46307.0</v>
      </c>
      <c r="J51" s="34">
        <v>46325.0</v>
      </c>
      <c r="K51" s="35">
        <v>14.0</v>
      </c>
      <c r="L51" s="35">
        <v>15.0</v>
      </c>
      <c r="M51" s="35">
        <v>25.0</v>
      </c>
      <c r="N51" s="33" t="str">
        <f t="shared" si="16"/>
        <v>Critical</v>
      </c>
      <c r="O51" s="30"/>
      <c r="P51" s="30" t="s">
        <v>860</v>
      </c>
      <c r="Q51" s="30" t="s">
        <v>624</v>
      </c>
      <c r="R51" s="30" t="s">
        <v>862</v>
      </c>
      <c r="S51" s="33" t="s">
        <v>142</v>
      </c>
      <c r="T51" s="34"/>
      <c r="U51" s="30"/>
      <c r="V51" s="34"/>
      <c r="W51" s="34"/>
      <c r="X51" s="35" t="str">
        <f t="shared" si="17"/>
        <v/>
      </c>
      <c r="Y51" s="35" t="str">
        <f t="shared" si="18"/>
        <v/>
      </c>
      <c r="Z51" s="35">
        <v>17.0</v>
      </c>
      <c r="AA51" s="33" t="str">
        <f t="shared" si="19"/>
        <v>Green</v>
      </c>
      <c r="AB51" s="33" t="str">
        <f t="shared" si="20"/>
        <v>Not yet due</v>
      </c>
      <c r="AC51" s="34"/>
      <c r="AD51" s="30"/>
    </row>
    <row r="52" ht="42.75" customHeight="1" outlineLevel="1">
      <c r="A52" s="29" t="s">
        <v>866</v>
      </c>
      <c r="B52" s="30" t="s">
        <v>608</v>
      </c>
      <c r="C52" s="31" t="s">
        <v>869</v>
      </c>
      <c r="D52" s="30" t="s">
        <v>870</v>
      </c>
      <c r="E52" s="30" t="s">
        <v>871</v>
      </c>
      <c r="F52" s="30" t="s">
        <v>872</v>
      </c>
      <c r="G52" s="30" t="s">
        <v>560</v>
      </c>
      <c r="H52" s="33" t="s">
        <v>873</v>
      </c>
      <c r="I52" s="34">
        <v>46328.0</v>
      </c>
      <c r="J52" s="34">
        <v>46352.0</v>
      </c>
      <c r="K52" s="35">
        <v>16.0</v>
      </c>
      <c r="L52" s="35">
        <v>8.0</v>
      </c>
      <c r="M52" s="35">
        <v>15.0</v>
      </c>
      <c r="N52" s="33" t="str">
        <f t="shared" si="16"/>
        <v>OK</v>
      </c>
      <c r="O52" s="30"/>
      <c r="P52" s="30" t="s">
        <v>877</v>
      </c>
      <c r="Q52" s="30" t="s">
        <v>624</v>
      </c>
      <c r="R52" s="30" t="s">
        <v>878</v>
      </c>
      <c r="S52" s="33" t="s">
        <v>142</v>
      </c>
      <c r="T52" s="34"/>
      <c r="U52" s="30"/>
      <c r="V52" s="34"/>
      <c r="W52" s="34"/>
      <c r="X52" s="35" t="str">
        <f t="shared" si="17"/>
        <v/>
      </c>
      <c r="Y52" s="35" t="str">
        <f t="shared" si="18"/>
        <v/>
      </c>
      <c r="Z52" s="35">
        <v>33.0</v>
      </c>
      <c r="AA52" s="33" t="str">
        <f t="shared" si="19"/>
        <v>Green</v>
      </c>
      <c r="AB52" s="33" t="str">
        <f t="shared" si="20"/>
        <v>Not yet due</v>
      </c>
      <c r="AC52" s="34"/>
      <c r="AD52" s="30"/>
    </row>
    <row r="53" ht="19.5" customHeight="1">
      <c r="A53" s="15"/>
      <c r="B53" s="15" t="s">
        <v>883</v>
      </c>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row>
    <row r="54" ht="42.75" customHeight="1" outlineLevel="1">
      <c r="A54" s="29" t="s">
        <v>888</v>
      </c>
      <c r="B54" s="30" t="s">
        <v>889</v>
      </c>
      <c r="C54" s="31" t="s">
        <v>890</v>
      </c>
      <c r="D54" s="30" t="s">
        <v>891</v>
      </c>
      <c r="E54" s="30" t="s">
        <v>892</v>
      </c>
      <c r="F54" s="30" t="s">
        <v>893</v>
      </c>
      <c r="G54" s="30" t="s">
        <v>894</v>
      </c>
      <c r="H54" s="33" t="s">
        <v>521</v>
      </c>
      <c r="I54" s="34">
        <v>46307.0</v>
      </c>
      <c r="J54" s="34">
        <v>46318.0</v>
      </c>
      <c r="K54" s="35">
        <v>9.0</v>
      </c>
      <c r="L54" s="35">
        <v>3.0</v>
      </c>
      <c r="M54" s="35">
        <v>7.0</v>
      </c>
      <c r="N54" s="33" t="str">
        <f t="shared" ref="N54:N57" si="21">IF(OR(K54="",L54="",M54=""),"",IF(K54&lt;L54,"Critical",IF(K54&lt;(L54+M54)/2,"At risk",IF(K54&lt;M54,"Tight","OK"))))</f>
        <v>OK</v>
      </c>
      <c r="O54" s="30"/>
      <c r="P54" s="30" t="s">
        <v>904</v>
      </c>
      <c r="Q54" s="30" t="s">
        <v>905</v>
      </c>
      <c r="R54" s="30" t="s">
        <v>907</v>
      </c>
      <c r="S54" s="33" t="s">
        <v>142</v>
      </c>
      <c r="T54" s="34"/>
      <c r="U54" s="30"/>
      <c r="V54" s="34"/>
      <c r="W54" s="34"/>
      <c r="X54" s="35" t="str">
        <f t="shared" ref="X54:X57" si="22">IF(T54="","",IF(W54&lt;&gt;"",NETWORKDAYS(T54,W54,Holidays)-1,NETWORKDAYS(T54,$C$3,Holidays)-1))</f>
        <v/>
      </c>
      <c r="Y54" s="35" t="str">
        <f t="shared" ref="Y54:Y57" si="23">IF(OR(NOT(ISNUMBER(X54)),W54=""),"",X54-M54)</f>
        <v/>
      </c>
      <c r="Z54" s="35">
        <v>12.0</v>
      </c>
      <c r="AA54" s="33" t="str">
        <f t="shared" ref="AA54:AA57" si="24">IF(OR(S54="Closed",S54="Received",S54="Not applicable"),"Done",IF(S54="Blocked","Red",IF(NOT(ISNUMBER(Z54)),"",IF(Z54&lt;=-2,"Red",IF(OR(Z54&lt;0,AND(ISNUMBER(X54),X54&gt;M54),AND(T54="",$C$3&gt;I54)),"Amber","Green")))))</f>
        <v>Green</v>
      </c>
      <c r="AB54" s="33" t="str">
        <f t="shared" ref="AB54:AB57" si="25">IF(OR(S54="Closed",S54="Received",S54="Not applicable"),"None",IF(T54="",IF($C$3&gt;=I54,"L0: raise now","Not yet due"),IF(AND(ISNUMBER(Z54),Z54&lt;=-5),"L4: executive",IF(OR(S54="Blocked",AND(ISNUMBER(Z54),Z54&lt;=-2),AND(ISNUMBER(X54),X54&gt;M54)),"L3: steering",IF(OR(AND(ISNUMBER(Z54),Z54&lt;=-1),AND(V54&lt;&gt;"",$C$3&gt;V54)),"L2: sponsor",IF(AND(V54="",ISNUMBER(X54),X54&gt;=2),"L1: working session","L0: monitor"))))))</f>
        <v>Not yet due</v>
      </c>
      <c r="AC54" s="34"/>
      <c r="AD54" s="30"/>
    </row>
    <row r="55" ht="42.75" customHeight="1" outlineLevel="1">
      <c r="A55" s="29" t="s">
        <v>928</v>
      </c>
      <c r="B55" s="30" t="s">
        <v>889</v>
      </c>
      <c r="C55" s="31" t="s">
        <v>929</v>
      </c>
      <c r="D55" s="30" t="s">
        <v>930</v>
      </c>
      <c r="E55" s="30" t="s">
        <v>931</v>
      </c>
      <c r="F55" s="30" t="s">
        <v>933</v>
      </c>
      <c r="G55" s="30" t="s">
        <v>560</v>
      </c>
      <c r="H55" s="33" t="s">
        <v>935</v>
      </c>
      <c r="I55" s="34">
        <v>46307.0</v>
      </c>
      <c r="J55" s="34">
        <v>46346.0</v>
      </c>
      <c r="K55" s="35">
        <v>27.0</v>
      </c>
      <c r="L55" s="35">
        <v>20.0</v>
      </c>
      <c r="M55" s="35">
        <v>40.0</v>
      </c>
      <c r="N55" s="33" t="str">
        <f t="shared" si="21"/>
        <v>At risk</v>
      </c>
      <c r="O55" s="30"/>
      <c r="P55" s="30" t="s">
        <v>936</v>
      </c>
      <c r="Q55" s="30" t="s">
        <v>905</v>
      </c>
      <c r="R55" s="30" t="s">
        <v>937</v>
      </c>
      <c r="S55" s="33" t="s">
        <v>142</v>
      </c>
      <c r="T55" s="34"/>
      <c r="U55" s="30"/>
      <c r="V55" s="34"/>
      <c r="W55" s="34"/>
      <c r="X55" s="35" t="str">
        <f t="shared" si="22"/>
        <v/>
      </c>
      <c r="Y55" s="35" t="str">
        <f t="shared" si="23"/>
        <v/>
      </c>
      <c r="Z55" s="35">
        <v>30.0</v>
      </c>
      <c r="AA55" s="33" t="str">
        <f t="shared" si="24"/>
        <v>Green</v>
      </c>
      <c r="AB55" s="33" t="str">
        <f t="shared" si="25"/>
        <v>Not yet due</v>
      </c>
      <c r="AC55" s="34"/>
      <c r="AD55" s="30"/>
    </row>
    <row r="56" ht="55.5" customHeight="1" outlineLevel="1">
      <c r="A56" s="29" t="s">
        <v>943</v>
      </c>
      <c r="B56" s="30" t="s">
        <v>889</v>
      </c>
      <c r="C56" s="31" t="s">
        <v>944</v>
      </c>
      <c r="D56" s="30" t="s">
        <v>945</v>
      </c>
      <c r="E56" s="30" t="s">
        <v>946</v>
      </c>
      <c r="F56" s="30" t="s">
        <v>893</v>
      </c>
      <c r="G56" s="30" t="s">
        <v>560</v>
      </c>
      <c r="H56" s="33" t="s">
        <v>949</v>
      </c>
      <c r="I56" s="34">
        <v>46307.0</v>
      </c>
      <c r="J56" s="34">
        <v>46332.0</v>
      </c>
      <c r="K56" s="35">
        <v>19.0</v>
      </c>
      <c r="L56" s="35">
        <v>10.0</v>
      </c>
      <c r="M56" s="35">
        <v>20.0</v>
      </c>
      <c r="N56" s="33" t="str">
        <f t="shared" si="21"/>
        <v>Tight</v>
      </c>
      <c r="O56" s="30" t="s">
        <v>950</v>
      </c>
      <c r="P56" s="30" t="s">
        <v>951</v>
      </c>
      <c r="Q56" s="30" t="s">
        <v>905</v>
      </c>
      <c r="R56" s="30" t="s">
        <v>952</v>
      </c>
      <c r="S56" s="33" t="s">
        <v>142</v>
      </c>
      <c r="T56" s="34"/>
      <c r="U56" s="30"/>
      <c r="V56" s="34"/>
      <c r="W56" s="34"/>
      <c r="X56" s="35" t="str">
        <f t="shared" si="22"/>
        <v/>
      </c>
      <c r="Y56" s="35" t="str">
        <f t="shared" si="23"/>
        <v/>
      </c>
      <c r="Z56" s="35">
        <v>22.0</v>
      </c>
      <c r="AA56" s="33" t="str">
        <f t="shared" si="24"/>
        <v>Green</v>
      </c>
      <c r="AB56" s="33" t="str">
        <f t="shared" si="25"/>
        <v>Not yet due</v>
      </c>
      <c r="AC56" s="34"/>
      <c r="AD56" s="30"/>
    </row>
    <row r="57" ht="42.75" customHeight="1" outlineLevel="1">
      <c r="A57" s="29" t="s">
        <v>959</v>
      </c>
      <c r="B57" s="30" t="s">
        <v>889</v>
      </c>
      <c r="C57" s="31" t="s">
        <v>960</v>
      </c>
      <c r="D57" s="30" t="s">
        <v>961</v>
      </c>
      <c r="E57" s="30" t="s">
        <v>963</v>
      </c>
      <c r="F57" s="30" t="s">
        <v>964</v>
      </c>
      <c r="G57" s="30" t="s">
        <v>511</v>
      </c>
      <c r="H57" s="33" t="s">
        <v>966</v>
      </c>
      <c r="I57" s="34">
        <v>46307.0</v>
      </c>
      <c r="J57" s="34">
        <v>46352.0</v>
      </c>
      <c r="K57" s="35">
        <v>30.0</v>
      </c>
      <c r="L57" s="35">
        <v>3.0</v>
      </c>
      <c r="M57" s="35">
        <v>40.0</v>
      </c>
      <c r="N57" s="33" t="str">
        <f t="shared" si="21"/>
        <v>Tight</v>
      </c>
      <c r="O57" s="30"/>
      <c r="P57" s="30" t="s">
        <v>967</v>
      </c>
      <c r="Q57" s="30" t="s">
        <v>968</v>
      </c>
      <c r="R57" s="30" t="s">
        <v>969</v>
      </c>
      <c r="S57" s="33" t="s">
        <v>142</v>
      </c>
      <c r="T57" s="34"/>
      <c r="U57" s="30"/>
      <c r="V57" s="34"/>
      <c r="W57" s="34"/>
      <c r="X57" s="35" t="str">
        <f t="shared" si="22"/>
        <v/>
      </c>
      <c r="Y57" s="35" t="str">
        <f t="shared" si="23"/>
        <v/>
      </c>
      <c r="Z57" s="35">
        <v>33.0</v>
      </c>
      <c r="AA57" s="33" t="str">
        <f t="shared" si="24"/>
        <v>Green</v>
      </c>
      <c r="AB57" s="33" t="str">
        <f t="shared" si="25"/>
        <v>Not yet due</v>
      </c>
      <c r="AC57" s="34"/>
      <c r="AD57" s="30"/>
    </row>
    <row r="58" ht="19.5" customHeight="1">
      <c r="A58" s="15"/>
      <c r="B58" s="15" t="s">
        <v>974</v>
      </c>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row>
    <row r="59" ht="42.75" customHeight="1" outlineLevel="1">
      <c r="A59" s="29" t="s">
        <v>980</v>
      </c>
      <c r="B59" s="30" t="s">
        <v>982</v>
      </c>
      <c r="C59" s="31" t="s">
        <v>983</v>
      </c>
      <c r="D59" s="30" t="s">
        <v>984</v>
      </c>
      <c r="E59" s="30" t="s">
        <v>985</v>
      </c>
      <c r="F59" s="30" t="s">
        <v>986</v>
      </c>
      <c r="G59" s="30" t="s">
        <v>204</v>
      </c>
      <c r="H59" s="33" t="s">
        <v>987</v>
      </c>
      <c r="I59" s="34">
        <v>46307.0</v>
      </c>
      <c r="J59" s="34">
        <v>46318.0</v>
      </c>
      <c r="K59" s="35">
        <v>9.0</v>
      </c>
      <c r="L59" s="35">
        <v>5.0</v>
      </c>
      <c r="M59" s="35">
        <v>10.0</v>
      </c>
      <c r="N59" s="33" t="str">
        <f t="shared" ref="N59:N68" si="26">IF(OR(K59="",L59="",M59=""),"",IF(K59&lt;L59,"Critical",IF(K59&lt;(L59+M59)/2,"At risk",IF(K59&lt;M59,"Tight","OK"))))</f>
        <v>Tight</v>
      </c>
      <c r="O59" s="30"/>
      <c r="P59" s="30" t="s">
        <v>993</v>
      </c>
      <c r="Q59" s="30" t="s">
        <v>741</v>
      </c>
      <c r="R59" s="30" t="s">
        <v>994</v>
      </c>
      <c r="S59" s="33" t="s">
        <v>142</v>
      </c>
      <c r="T59" s="34"/>
      <c r="U59" s="30"/>
      <c r="V59" s="34"/>
      <c r="W59" s="34"/>
      <c r="X59" s="35" t="str">
        <f t="shared" ref="X59:X68" si="27">IF(T59="","",IF(W59&lt;&gt;"",NETWORKDAYS(T59,W59,Holidays)-1,NETWORKDAYS(T59,$C$3,Holidays)-1))</f>
        <v/>
      </c>
      <c r="Y59" s="35" t="str">
        <f t="shared" ref="Y59:Y68" si="28">IF(OR(NOT(ISNUMBER(X59)),W59=""),"",X59-M59)</f>
        <v/>
      </c>
      <c r="Z59" s="35">
        <v>12.0</v>
      </c>
      <c r="AA59" s="33" t="str">
        <f t="shared" ref="AA59:AA68" si="29">IF(OR(S59="Closed",S59="Received",S59="Not applicable"),"Done",IF(S59="Blocked","Red",IF(NOT(ISNUMBER(Z59)),"",IF(Z59&lt;=-2,"Red",IF(OR(Z59&lt;0,AND(ISNUMBER(X59),X59&gt;M59),AND(T59="",$C$3&gt;I59)),"Amber","Green")))))</f>
        <v>Green</v>
      </c>
      <c r="AB59" s="33" t="str">
        <f t="shared" ref="AB59:AB68" si="30">IF(OR(S59="Closed",S59="Received",S59="Not applicable"),"None",IF(T59="",IF($C$3&gt;=I59,"L0: raise now","Not yet due"),IF(AND(ISNUMBER(Z59),Z59&lt;=-5),"L4: executive",IF(OR(S59="Blocked",AND(ISNUMBER(Z59),Z59&lt;=-2),AND(ISNUMBER(X59),X59&gt;M59)),"L3: steering",IF(OR(AND(ISNUMBER(Z59),Z59&lt;=-1),AND(V59&lt;&gt;"",$C$3&gt;V59)),"L2: sponsor",IF(AND(V59="",ISNUMBER(X59),X59&gt;=2),"L1: working session","L0: monitor"))))))</f>
        <v>Not yet due</v>
      </c>
      <c r="AC59" s="34"/>
      <c r="AD59" s="30"/>
    </row>
    <row r="60" ht="30.0" customHeight="1" outlineLevel="1">
      <c r="A60" s="29" t="s">
        <v>995</v>
      </c>
      <c r="B60" s="30" t="s">
        <v>982</v>
      </c>
      <c r="C60" s="31" t="s">
        <v>996</v>
      </c>
      <c r="D60" s="30" t="s">
        <v>997</v>
      </c>
      <c r="E60" s="30" t="s">
        <v>998</v>
      </c>
      <c r="F60" s="30" t="s">
        <v>999</v>
      </c>
      <c r="G60" s="30" t="s">
        <v>204</v>
      </c>
      <c r="H60" s="33" t="s">
        <v>1000</v>
      </c>
      <c r="I60" s="34">
        <v>46307.0</v>
      </c>
      <c r="J60" s="34">
        <v>46318.0</v>
      </c>
      <c r="K60" s="35">
        <v>9.0</v>
      </c>
      <c r="L60" s="35">
        <v>5.0</v>
      </c>
      <c r="M60" s="35">
        <v>10.0</v>
      </c>
      <c r="N60" s="33" t="str">
        <f t="shared" si="26"/>
        <v>Tight</v>
      </c>
      <c r="O60" s="30"/>
      <c r="P60" s="30" t="s">
        <v>1001</v>
      </c>
      <c r="Q60" s="30" t="s">
        <v>741</v>
      </c>
      <c r="R60" s="30" t="s">
        <v>1002</v>
      </c>
      <c r="S60" s="33" t="s">
        <v>142</v>
      </c>
      <c r="T60" s="34"/>
      <c r="U60" s="30"/>
      <c r="V60" s="34"/>
      <c r="W60" s="34"/>
      <c r="X60" s="35" t="str">
        <f t="shared" si="27"/>
        <v/>
      </c>
      <c r="Y60" s="35" t="str">
        <f t="shared" si="28"/>
        <v/>
      </c>
      <c r="Z60" s="35">
        <v>12.0</v>
      </c>
      <c r="AA60" s="33" t="str">
        <f t="shared" si="29"/>
        <v>Green</v>
      </c>
      <c r="AB60" s="33" t="str">
        <f t="shared" si="30"/>
        <v>Not yet due</v>
      </c>
      <c r="AC60" s="34"/>
      <c r="AD60" s="30"/>
    </row>
    <row r="61" ht="42.75" customHeight="1" outlineLevel="1">
      <c r="A61" s="29" t="s">
        <v>1003</v>
      </c>
      <c r="B61" s="30" t="s">
        <v>982</v>
      </c>
      <c r="C61" s="31" t="s">
        <v>1004</v>
      </c>
      <c r="D61" s="30" t="s">
        <v>1005</v>
      </c>
      <c r="E61" s="30" t="s">
        <v>1006</v>
      </c>
      <c r="F61" s="30" t="s">
        <v>203</v>
      </c>
      <c r="G61" s="30" t="s">
        <v>204</v>
      </c>
      <c r="H61" s="33" t="s">
        <v>303</v>
      </c>
      <c r="I61" s="34">
        <v>46307.0</v>
      </c>
      <c r="J61" s="34">
        <v>46314.0</v>
      </c>
      <c r="K61" s="35">
        <v>6.0</v>
      </c>
      <c r="L61" s="35">
        <v>5.0</v>
      </c>
      <c r="M61" s="35">
        <v>10.0</v>
      </c>
      <c r="N61" s="33" t="str">
        <f t="shared" si="26"/>
        <v>At risk</v>
      </c>
      <c r="O61" s="30"/>
      <c r="P61" s="30" t="s">
        <v>1007</v>
      </c>
      <c r="Q61" s="30" t="s">
        <v>307</v>
      </c>
      <c r="R61" s="30" t="s">
        <v>1008</v>
      </c>
      <c r="S61" s="33" t="s">
        <v>142</v>
      </c>
      <c r="T61" s="34"/>
      <c r="U61" s="30"/>
      <c r="V61" s="34"/>
      <c r="W61" s="34"/>
      <c r="X61" s="35" t="str">
        <f t="shared" si="27"/>
        <v/>
      </c>
      <c r="Y61" s="35" t="str">
        <f t="shared" si="28"/>
        <v/>
      </c>
      <c r="Z61" s="35">
        <v>9.0</v>
      </c>
      <c r="AA61" s="33" t="str">
        <f t="shared" si="29"/>
        <v>Green</v>
      </c>
      <c r="AB61" s="33" t="str">
        <f t="shared" si="30"/>
        <v>Not yet due</v>
      </c>
      <c r="AC61" s="34"/>
      <c r="AD61" s="30"/>
    </row>
    <row r="62" ht="42.75" customHeight="1" outlineLevel="1">
      <c r="A62" s="29" t="s">
        <v>1009</v>
      </c>
      <c r="B62" s="30" t="s">
        <v>982</v>
      </c>
      <c r="C62" s="31" t="s">
        <v>1010</v>
      </c>
      <c r="D62" s="30" t="s">
        <v>1011</v>
      </c>
      <c r="E62" s="30" t="s">
        <v>1012</v>
      </c>
      <c r="F62" s="30" t="s">
        <v>1013</v>
      </c>
      <c r="G62" s="30" t="s">
        <v>204</v>
      </c>
      <c r="H62" s="33" t="s">
        <v>593</v>
      </c>
      <c r="I62" s="34">
        <v>46307.0</v>
      </c>
      <c r="J62" s="34">
        <v>46318.0</v>
      </c>
      <c r="K62" s="35">
        <v>9.0</v>
      </c>
      <c r="L62" s="35">
        <v>7.0</v>
      </c>
      <c r="M62" s="35">
        <v>15.0</v>
      </c>
      <c r="N62" s="33" t="str">
        <f t="shared" si="26"/>
        <v>At risk</v>
      </c>
      <c r="O62" s="30"/>
      <c r="P62" s="30" t="s">
        <v>1014</v>
      </c>
      <c r="Q62" s="30" t="s">
        <v>1015</v>
      </c>
      <c r="R62" s="30" t="s">
        <v>1016</v>
      </c>
      <c r="S62" s="33" t="s">
        <v>142</v>
      </c>
      <c r="T62" s="34"/>
      <c r="U62" s="30"/>
      <c r="V62" s="34"/>
      <c r="W62" s="34"/>
      <c r="X62" s="35" t="str">
        <f t="shared" si="27"/>
        <v/>
      </c>
      <c r="Y62" s="35" t="str">
        <f t="shared" si="28"/>
        <v/>
      </c>
      <c r="Z62" s="35">
        <v>12.0</v>
      </c>
      <c r="AA62" s="33" t="str">
        <f t="shared" si="29"/>
        <v>Green</v>
      </c>
      <c r="AB62" s="33" t="str">
        <f t="shared" si="30"/>
        <v>Not yet due</v>
      </c>
      <c r="AC62" s="34"/>
      <c r="AD62" s="30"/>
    </row>
    <row r="63" ht="42.75" customHeight="1" outlineLevel="1">
      <c r="A63" s="29" t="s">
        <v>1017</v>
      </c>
      <c r="B63" s="30" t="s">
        <v>982</v>
      </c>
      <c r="C63" s="31" t="s">
        <v>1018</v>
      </c>
      <c r="D63" s="30" t="s">
        <v>1019</v>
      </c>
      <c r="E63" s="30" t="s">
        <v>1020</v>
      </c>
      <c r="F63" s="30" t="s">
        <v>617</v>
      </c>
      <c r="G63" s="30" t="s">
        <v>511</v>
      </c>
      <c r="H63" s="33" t="s">
        <v>1021</v>
      </c>
      <c r="I63" s="34">
        <v>46307.0</v>
      </c>
      <c r="J63" s="34">
        <v>46318.0</v>
      </c>
      <c r="K63" s="35">
        <v>9.0</v>
      </c>
      <c r="L63" s="35">
        <v>5.0</v>
      </c>
      <c r="M63" s="35">
        <v>10.0</v>
      </c>
      <c r="N63" s="33" t="str">
        <f t="shared" si="26"/>
        <v>Tight</v>
      </c>
      <c r="O63" s="30"/>
      <c r="P63" s="30" t="s">
        <v>1022</v>
      </c>
      <c r="Q63" s="30" t="s">
        <v>968</v>
      </c>
      <c r="R63" s="30" t="s">
        <v>1023</v>
      </c>
      <c r="S63" s="33" t="s">
        <v>142</v>
      </c>
      <c r="T63" s="34"/>
      <c r="U63" s="30"/>
      <c r="V63" s="34"/>
      <c r="W63" s="34"/>
      <c r="X63" s="35" t="str">
        <f t="shared" si="27"/>
        <v/>
      </c>
      <c r="Y63" s="35" t="str">
        <f t="shared" si="28"/>
        <v/>
      </c>
      <c r="Z63" s="35">
        <v>12.0</v>
      </c>
      <c r="AA63" s="33" t="str">
        <f t="shared" si="29"/>
        <v>Green</v>
      </c>
      <c r="AB63" s="33" t="str">
        <f t="shared" si="30"/>
        <v>Not yet due</v>
      </c>
      <c r="AC63" s="34"/>
      <c r="AD63" s="30"/>
    </row>
    <row r="64" ht="42.75" customHeight="1" outlineLevel="1">
      <c r="A64" s="29" t="s">
        <v>1024</v>
      </c>
      <c r="B64" s="30" t="s">
        <v>982</v>
      </c>
      <c r="C64" s="31" t="s">
        <v>1025</v>
      </c>
      <c r="D64" s="30" t="s">
        <v>1026</v>
      </c>
      <c r="E64" s="30" t="s">
        <v>1027</v>
      </c>
      <c r="F64" s="30" t="s">
        <v>1028</v>
      </c>
      <c r="G64" s="30" t="s">
        <v>511</v>
      </c>
      <c r="H64" s="33" t="s">
        <v>1029</v>
      </c>
      <c r="I64" s="34">
        <v>46307.0</v>
      </c>
      <c r="J64" s="34">
        <v>46325.0</v>
      </c>
      <c r="K64" s="35">
        <v>14.0</v>
      </c>
      <c r="L64" s="35">
        <v>5.0</v>
      </c>
      <c r="M64" s="35">
        <v>10.0</v>
      </c>
      <c r="N64" s="33" t="str">
        <f t="shared" si="26"/>
        <v>OK</v>
      </c>
      <c r="O64" s="30"/>
      <c r="P64" s="30" t="s">
        <v>1030</v>
      </c>
      <c r="Q64" s="30" t="s">
        <v>968</v>
      </c>
      <c r="R64" s="30" t="s">
        <v>1031</v>
      </c>
      <c r="S64" s="33" t="s">
        <v>142</v>
      </c>
      <c r="T64" s="34"/>
      <c r="U64" s="30"/>
      <c r="V64" s="34"/>
      <c r="W64" s="34"/>
      <c r="X64" s="35" t="str">
        <f t="shared" si="27"/>
        <v/>
      </c>
      <c r="Y64" s="35" t="str">
        <f t="shared" si="28"/>
        <v/>
      </c>
      <c r="Z64" s="35">
        <v>17.0</v>
      </c>
      <c r="AA64" s="33" t="str">
        <f t="shared" si="29"/>
        <v>Green</v>
      </c>
      <c r="AB64" s="33" t="str">
        <f t="shared" si="30"/>
        <v>Not yet due</v>
      </c>
      <c r="AC64" s="34"/>
      <c r="AD64" s="30"/>
    </row>
    <row r="65" ht="42.75" customHeight="1" outlineLevel="1">
      <c r="A65" s="29" t="s">
        <v>1032</v>
      </c>
      <c r="B65" s="30" t="s">
        <v>982</v>
      </c>
      <c r="C65" s="31" t="s">
        <v>1033</v>
      </c>
      <c r="D65" s="30" t="s">
        <v>1034</v>
      </c>
      <c r="E65" s="30" t="s">
        <v>1035</v>
      </c>
      <c r="F65" s="30" t="s">
        <v>1036</v>
      </c>
      <c r="G65" s="30" t="s">
        <v>204</v>
      </c>
      <c r="H65" s="33" t="s">
        <v>569</v>
      </c>
      <c r="I65" s="34">
        <v>46307.0</v>
      </c>
      <c r="J65" s="34">
        <v>46323.0</v>
      </c>
      <c r="K65" s="35">
        <v>12.0</v>
      </c>
      <c r="L65" s="35">
        <v>5.0</v>
      </c>
      <c r="M65" s="35">
        <v>12.0</v>
      </c>
      <c r="N65" s="33" t="str">
        <f t="shared" si="26"/>
        <v>OK</v>
      </c>
      <c r="O65" s="30" t="s">
        <v>1037</v>
      </c>
      <c r="P65" s="30" t="s">
        <v>1038</v>
      </c>
      <c r="Q65" s="30" t="s">
        <v>968</v>
      </c>
      <c r="R65" s="30" t="s">
        <v>1039</v>
      </c>
      <c r="S65" s="33" t="s">
        <v>142</v>
      </c>
      <c r="T65" s="34"/>
      <c r="U65" s="30"/>
      <c r="V65" s="34"/>
      <c r="W65" s="34"/>
      <c r="X65" s="35" t="str">
        <f t="shared" si="27"/>
        <v/>
      </c>
      <c r="Y65" s="35" t="str">
        <f t="shared" si="28"/>
        <v/>
      </c>
      <c r="Z65" s="35">
        <v>15.0</v>
      </c>
      <c r="AA65" s="33" t="str">
        <f t="shared" si="29"/>
        <v>Green</v>
      </c>
      <c r="AB65" s="33" t="str">
        <f t="shared" si="30"/>
        <v>Not yet due</v>
      </c>
      <c r="AC65" s="34"/>
      <c r="AD65" s="30"/>
    </row>
    <row r="66" ht="42.75" customHeight="1" outlineLevel="1">
      <c r="A66" s="29" t="s">
        <v>1040</v>
      </c>
      <c r="B66" s="30" t="s">
        <v>982</v>
      </c>
      <c r="C66" s="31" t="s">
        <v>1041</v>
      </c>
      <c r="D66" s="30" t="s">
        <v>1042</v>
      </c>
      <c r="E66" s="30" t="s">
        <v>1043</v>
      </c>
      <c r="F66" s="30" t="s">
        <v>1044</v>
      </c>
      <c r="G66" s="30" t="s">
        <v>894</v>
      </c>
      <c r="H66" s="33" t="s">
        <v>1045</v>
      </c>
      <c r="I66" s="34">
        <v>46310.0</v>
      </c>
      <c r="J66" s="34">
        <v>46325.0</v>
      </c>
      <c r="K66" s="35">
        <v>11.0</v>
      </c>
      <c r="L66" s="35">
        <v>10.0</v>
      </c>
      <c r="M66" s="35">
        <v>20.0</v>
      </c>
      <c r="N66" s="33" t="str">
        <f t="shared" si="26"/>
        <v>At risk</v>
      </c>
      <c r="O66" s="30"/>
      <c r="P66" s="30" t="s">
        <v>1046</v>
      </c>
      <c r="Q66" s="30" t="s">
        <v>307</v>
      </c>
      <c r="R66" s="30" t="s">
        <v>1047</v>
      </c>
      <c r="S66" s="33" t="s">
        <v>142</v>
      </c>
      <c r="T66" s="34"/>
      <c r="U66" s="30"/>
      <c r="V66" s="34"/>
      <c r="W66" s="34"/>
      <c r="X66" s="35" t="str">
        <f t="shared" si="27"/>
        <v/>
      </c>
      <c r="Y66" s="35" t="str">
        <f t="shared" si="28"/>
        <v/>
      </c>
      <c r="Z66" s="35">
        <v>17.0</v>
      </c>
      <c r="AA66" s="33" t="str">
        <f t="shared" si="29"/>
        <v>Green</v>
      </c>
      <c r="AB66" s="33" t="str">
        <f t="shared" si="30"/>
        <v>Not yet due</v>
      </c>
      <c r="AC66" s="34"/>
      <c r="AD66" s="30"/>
    </row>
    <row r="67" ht="42.75" customHeight="1" outlineLevel="1">
      <c r="A67" s="29" t="s">
        <v>1048</v>
      </c>
      <c r="B67" s="30" t="s">
        <v>982</v>
      </c>
      <c r="C67" s="31" t="s">
        <v>1049</v>
      </c>
      <c r="D67" s="30" t="s">
        <v>1050</v>
      </c>
      <c r="E67" s="30" t="s">
        <v>1051</v>
      </c>
      <c r="F67" s="30" t="s">
        <v>1052</v>
      </c>
      <c r="G67" s="30" t="s">
        <v>204</v>
      </c>
      <c r="H67" s="33" t="s">
        <v>503</v>
      </c>
      <c r="I67" s="34">
        <v>46307.0</v>
      </c>
      <c r="J67" s="34">
        <v>46318.0</v>
      </c>
      <c r="K67" s="35">
        <v>9.0</v>
      </c>
      <c r="L67" s="35">
        <v>3.0</v>
      </c>
      <c r="M67" s="35">
        <v>7.0</v>
      </c>
      <c r="N67" s="33" t="str">
        <f t="shared" si="26"/>
        <v>OK</v>
      </c>
      <c r="O67" s="30"/>
      <c r="P67" s="30" t="s">
        <v>1053</v>
      </c>
      <c r="Q67" s="30" t="s">
        <v>307</v>
      </c>
      <c r="R67" s="30" t="s">
        <v>1054</v>
      </c>
      <c r="S67" s="33" t="s">
        <v>142</v>
      </c>
      <c r="T67" s="34"/>
      <c r="U67" s="30"/>
      <c r="V67" s="34"/>
      <c r="W67" s="34"/>
      <c r="X67" s="35" t="str">
        <f t="shared" si="27"/>
        <v/>
      </c>
      <c r="Y67" s="35" t="str">
        <f t="shared" si="28"/>
        <v/>
      </c>
      <c r="Z67" s="35">
        <v>12.0</v>
      </c>
      <c r="AA67" s="33" t="str">
        <f t="shared" si="29"/>
        <v>Green</v>
      </c>
      <c r="AB67" s="33" t="str">
        <f t="shared" si="30"/>
        <v>Not yet due</v>
      </c>
      <c r="AC67" s="34"/>
      <c r="AD67" s="30"/>
    </row>
    <row r="68" ht="42.75" customHeight="1" outlineLevel="1">
      <c r="A68" s="29" t="s">
        <v>1055</v>
      </c>
      <c r="B68" s="30" t="s">
        <v>982</v>
      </c>
      <c r="C68" s="31" t="s">
        <v>1056</v>
      </c>
      <c r="D68" s="30" t="s">
        <v>1057</v>
      </c>
      <c r="E68" s="30" t="s">
        <v>1058</v>
      </c>
      <c r="F68" s="30" t="s">
        <v>1059</v>
      </c>
      <c r="G68" s="30" t="s">
        <v>511</v>
      </c>
      <c r="H68" s="33" t="s">
        <v>1060</v>
      </c>
      <c r="I68" s="34">
        <v>46328.0</v>
      </c>
      <c r="J68" s="34">
        <v>46337.0</v>
      </c>
      <c r="K68" s="35">
        <v>6.0</v>
      </c>
      <c r="L68" s="35">
        <v>5.0</v>
      </c>
      <c r="M68" s="35">
        <v>10.0</v>
      </c>
      <c r="N68" s="33" t="str">
        <f t="shared" si="26"/>
        <v>At risk</v>
      </c>
      <c r="O68" s="30"/>
      <c r="P68" s="30" t="s">
        <v>1061</v>
      </c>
      <c r="Q68" s="30" t="s">
        <v>968</v>
      </c>
      <c r="R68" s="30" t="s">
        <v>1062</v>
      </c>
      <c r="S68" s="33" t="s">
        <v>142</v>
      </c>
      <c r="T68" s="34"/>
      <c r="U68" s="30"/>
      <c r="V68" s="34"/>
      <c r="W68" s="34"/>
      <c r="X68" s="35" t="str">
        <f t="shared" si="27"/>
        <v/>
      </c>
      <c r="Y68" s="35" t="str">
        <f t="shared" si="28"/>
        <v/>
      </c>
      <c r="Z68" s="35">
        <v>23.0</v>
      </c>
      <c r="AA68" s="33" t="str">
        <f t="shared" si="29"/>
        <v>Green</v>
      </c>
      <c r="AB68" s="33" t="str">
        <f t="shared" si="30"/>
        <v>Not yet due</v>
      </c>
      <c r="AC68" s="34"/>
      <c r="AD68" s="30"/>
    </row>
    <row r="69" ht="19.5" customHeight="1">
      <c r="A69" s="15"/>
      <c r="B69" s="15" t="s">
        <v>1063</v>
      </c>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row>
    <row r="70" ht="42.75" customHeight="1" outlineLevel="1">
      <c r="A70" s="29" t="s">
        <v>1064</v>
      </c>
      <c r="B70" s="30" t="s">
        <v>1065</v>
      </c>
      <c r="C70" s="31" t="s">
        <v>1066</v>
      </c>
      <c r="D70" s="30" t="s">
        <v>1067</v>
      </c>
      <c r="E70" s="30" t="s">
        <v>1068</v>
      </c>
      <c r="F70" s="30" t="s">
        <v>1069</v>
      </c>
      <c r="G70" s="30" t="s">
        <v>894</v>
      </c>
      <c r="H70" s="33" t="s">
        <v>847</v>
      </c>
      <c r="I70" s="34">
        <v>46321.0</v>
      </c>
      <c r="J70" s="34">
        <v>46332.0</v>
      </c>
      <c r="K70" s="35">
        <v>10.0</v>
      </c>
      <c r="L70" s="35">
        <v>3.0</v>
      </c>
      <c r="M70" s="35">
        <v>7.0</v>
      </c>
      <c r="N70" s="33" t="str">
        <f t="shared" ref="N70:N80" si="31">IF(OR(K70="",L70="",M70=""),"",IF(K70&lt;L70,"Critical",IF(K70&lt;(L70+M70)/2,"At risk",IF(K70&lt;M70,"Tight","OK"))))</f>
        <v>OK</v>
      </c>
      <c r="O70" s="30"/>
      <c r="P70" s="30" t="s">
        <v>1070</v>
      </c>
      <c r="Q70" s="30" t="s">
        <v>307</v>
      </c>
      <c r="R70" s="30" t="s">
        <v>1071</v>
      </c>
      <c r="S70" s="33" t="s">
        <v>142</v>
      </c>
      <c r="T70" s="34"/>
      <c r="U70" s="30"/>
      <c r="V70" s="34"/>
      <c r="W70" s="34"/>
      <c r="X70" s="35" t="str">
        <f t="shared" ref="X70:X80" si="32">IF(T70="","",IF(W70&lt;&gt;"",NETWORKDAYS(T70,W70,Holidays)-1,NETWORKDAYS(T70,$C$3,Holidays)-1))</f>
        <v/>
      </c>
      <c r="Y70" s="35" t="str">
        <f t="shared" ref="Y70:Y80" si="33">IF(OR(NOT(ISNUMBER(X70)),W70=""),"",X70-M70)</f>
        <v/>
      </c>
      <c r="Z70" s="35">
        <v>22.0</v>
      </c>
      <c r="AA70" s="33" t="str">
        <f t="shared" ref="AA70:AA80" si="34">IF(OR(S70="Closed",S70="Received",S70="Not applicable"),"Done",IF(S70="Blocked","Red",IF(NOT(ISNUMBER(Z70)),"",IF(Z70&lt;=-2,"Red",IF(OR(Z70&lt;0,AND(ISNUMBER(X70),X70&gt;M70),AND(T70="",$C$3&gt;I70)),"Amber","Green")))))</f>
        <v>Green</v>
      </c>
      <c r="AB70" s="33" t="str">
        <f t="shared" ref="AB70:AB80" si="35">IF(OR(S70="Closed",S70="Received",S70="Not applicable"),"None",IF(T70="",IF($C$3&gt;=I70,"L0: raise now","Not yet due"),IF(AND(ISNUMBER(Z70),Z70&lt;=-5),"L4: executive",IF(OR(S70="Blocked",AND(ISNUMBER(Z70),Z70&lt;=-2),AND(ISNUMBER(X70),X70&gt;M70)),"L3: steering",IF(OR(AND(ISNUMBER(Z70),Z70&lt;=-1),AND(V70&lt;&gt;"",$C$3&gt;V70)),"L2: sponsor",IF(AND(V70="",ISNUMBER(X70),X70&gt;=2),"L1: working session","L0: monitor"))))))</f>
        <v>Not yet due</v>
      </c>
      <c r="AC70" s="34"/>
      <c r="AD70" s="30"/>
    </row>
    <row r="71" ht="42.75" customHeight="1" outlineLevel="1">
      <c r="A71" s="29" t="s">
        <v>1072</v>
      </c>
      <c r="B71" s="30" t="s">
        <v>1065</v>
      </c>
      <c r="C71" s="31" t="s">
        <v>1073</v>
      </c>
      <c r="D71" s="30" t="s">
        <v>1074</v>
      </c>
      <c r="E71" s="30" t="s">
        <v>1075</v>
      </c>
      <c r="F71" s="30" t="s">
        <v>1076</v>
      </c>
      <c r="G71" s="30" t="s">
        <v>894</v>
      </c>
      <c r="H71" s="33" t="s">
        <v>1077</v>
      </c>
      <c r="I71" s="34">
        <v>46332.0</v>
      </c>
      <c r="J71" s="34">
        <v>46351.0</v>
      </c>
      <c r="K71" s="35">
        <v>11.0</v>
      </c>
      <c r="L71" s="35">
        <v>8.0</v>
      </c>
      <c r="M71" s="35">
        <v>15.0</v>
      </c>
      <c r="N71" s="33" t="str">
        <f t="shared" si="31"/>
        <v>At risk</v>
      </c>
      <c r="O71" s="30"/>
      <c r="P71" s="30" t="s">
        <v>1078</v>
      </c>
      <c r="Q71" s="30" t="s">
        <v>307</v>
      </c>
      <c r="R71" s="30" t="s">
        <v>1079</v>
      </c>
      <c r="S71" s="33" t="s">
        <v>142</v>
      </c>
      <c r="T71" s="34"/>
      <c r="U71" s="30"/>
      <c r="V71" s="34"/>
      <c r="W71" s="34"/>
      <c r="X71" s="35" t="str">
        <f t="shared" si="32"/>
        <v/>
      </c>
      <c r="Y71" s="35" t="str">
        <f t="shared" si="33"/>
        <v/>
      </c>
      <c r="Z71" s="35">
        <v>32.0</v>
      </c>
      <c r="AA71" s="33" t="str">
        <f t="shared" si="34"/>
        <v>Green</v>
      </c>
      <c r="AB71" s="33" t="str">
        <f t="shared" si="35"/>
        <v>Not yet due</v>
      </c>
      <c r="AC71" s="34"/>
      <c r="AD71" s="30"/>
    </row>
    <row r="72" ht="42.75" customHeight="1" outlineLevel="1">
      <c r="A72" s="29" t="s">
        <v>1080</v>
      </c>
      <c r="B72" s="30" t="s">
        <v>1065</v>
      </c>
      <c r="C72" s="31" t="s">
        <v>1081</v>
      </c>
      <c r="D72" s="30" t="s">
        <v>1082</v>
      </c>
      <c r="E72" s="30" t="s">
        <v>1083</v>
      </c>
      <c r="F72" s="30" t="s">
        <v>617</v>
      </c>
      <c r="G72" s="30" t="s">
        <v>511</v>
      </c>
      <c r="H72" s="33" t="s">
        <v>1084</v>
      </c>
      <c r="I72" s="34">
        <v>46332.0</v>
      </c>
      <c r="J72" s="34">
        <v>46353.0</v>
      </c>
      <c r="K72" s="35">
        <v>13.0</v>
      </c>
      <c r="L72" s="35">
        <v>10.0</v>
      </c>
      <c r="M72" s="35">
        <v>15.0</v>
      </c>
      <c r="N72" s="33" t="str">
        <f t="shared" si="31"/>
        <v>Tight</v>
      </c>
      <c r="O72" s="30"/>
      <c r="P72" s="30" t="s">
        <v>1085</v>
      </c>
      <c r="Q72" s="30" t="s">
        <v>968</v>
      </c>
      <c r="R72" s="30" t="s">
        <v>1086</v>
      </c>
      <c r="S72" s="33" t="s">
        <v>142</v>
      </c>
      <c r="T72" s="34"/>
      <c r="U72" s="30"/>
      <c r="V72" s="34"/>
      <c r="W72" s="34"/>
      <c r="X72" s="35" t="str">
        <f t="shared" si="32"/>
        <v/>
      </c>
      <c r="Y72" s="35" t="str">
        <f t="shared" si="33"/>
        <v/>
      </c>
      <c r="Z72" s="35">
        <v>34.0</v>
      </c>
      <c r="AA72" s="33" t="str">
        <f t="shared" si="34"/>
        <v>Green</v>
      </c>
      <c r="AB72" s="33" t="str">
        <f t="shared" si="35"/>
        <v>Not yet due</v>
      </c>
      <c r="AC72" s="34"/>
      <c r="AD72" s="30"/>
    </row>
    <row r="73" ht="42.75" customHeight="1" outlineLevel="1">
      <c r="A73" s="29" t="s">
        <v>1087</v>
      </c>
      <c r="B73" s="30" t="s">
        <v>1065</v>
      </c>
      <c r="C73" s="31" t="s">
        <v>1088</v>
      </c>
      <c r="D73" s="30" t="s">
        <v>1089</v>
      </c>
      <c r="E73" s="30" t="s">
        <v>1090</v>
      </c>
      <c r="F73" s="30" t="s">
        <v>1013</v>
      </c>
      <c r="G73" s="30" t="s">
        <v>204</v>
      </c>
      <c r="H73" s="33" t="s">
        <v>1091</v>
      </c>
      <c r="I73" s="34">
        <v>46337.0</v>
      </c>
      <c r="J73" s="34">
        <v>46352.0</v>
      </c>
      <c r="K73" s="35">
        <v>11.0</v>
      </c>
      <c r="L73" s="35">
        <v>3.0</v>
      </c>
      <c r="M73" s="35">
        <v>7.0</v>
      </c>
      <c r="N73" s="33" t="str">
        <f t="shared" si="31"/>
        <v>OK</v>
      </c>
      <c r="O73" s="30"/>
      <c r="P73" s="30" t="s">
        <v>1092</v>
      </c>
      <c r="Q73" s="30" t="s">
        <v>1015</v>
      </c>
      <c r="R73" s="30" t="s">
        <v>1093</v>
      </c>
      <c r="S73" s="33" t="s">
        <v>142</v>
      </c>
      <c r="T73" s="34"/>
      <c r="U73" s="30"/>
      <c r="V73" s="34"/>
      <c r="W73" s="34"/>
      <c r="X73" s="35" t="str">
        <f t="shared" si="32"/>
        <v/>
      </c>
      <c r="Y73" s="35" t="str">
        <f t="shared" si="33"/>
        <v/>
      </c>
      <c r="Z73" s="35">
        <v>33.0</v>
      </c>
      <c r="AA73" s="33" t="str">
        <f t="shared" si="34"/>
        <v>Green</v>
      </c>
      <c r="AB73" s="33" t="str">
        <f t="shared" si="35"/>
        <v>Not yet due</v>
      </c>
      <c r="AC73" s="34"/>
      <c r="AD73" s="30"/>
    </row>
    <row r="74" ht="42.75" customHeight="1" outlineLevel="1">
      <c r="A74" s="29" t="s">
        <v>1094</v>
      </c>
      <c r="B74" s="30" t="s">
        <v>1065</v>
      </c>
      <c r="C74" s="31" t="s">
        <v>1095</v>
      </c>
      <c r="D74" s="30" t="s">
        <v>1096</v>
      </c>
      <c r="E74" s="30" t="s">
        <v>1097</v>
      </c>
      <c r="F74" s="30" t="s">
        <v>1098</v>
      </c>
      <c r="G74" s="30" t="s">
        <v>894</v>
      </c>
      <c r="H74" s="33" t="s">
        <v>1099</v>
      </c>
      <c r="I74" s="34">
        <v>46342.0</v>
      </c>
      <c r="J74" s="34">
        <v>46351.0</v>
      </c>
      <c r="K74" s="35">
        <v>7.0</v>
      </c>
      <c r="L74" s="35">
        <v>3.0</v>
      </c>
      <c r="M74" s="35">
        <v>5.0</v>
      </c>
      <c r="N74" s="33" t="str">
        <f t="shared" si="31"/>
        <v>OK</v>
      </c>
      <c r="O74" s="30"/>
      <c r="P74" s="30" t="s">
        <v>1100</v>
      </c>
      <c r="Q74" s="30" t="s">
        <v>307</v>
      </c>
      <c r="R74" s="30" t="s">
        <v>1101</v>
      </c>
      <c r="S74" s="33" t="s">
        <v>142</v>
      </c>
      <c r="T74" s="34"/>
      <c r="U74" s="30"/>
      <c r="V74" s="34"/>
      <c r="W74" s="34"/>
      <c r="X74" s="35" t="str">
        <f t="shared" si="32"/>
        <v/>
      </c>
      <c r="Y74" s="35" t="str">
        <f t="shared" si="33"/>
        <v/>
      </c>
      <c r="Z74" s="35">
        <v>32.0</v>
      </c>
      <c r="AA74" s="33" t="str">
        <f t="shared" si="34"/>
        <v>Green</v>
      </c>
      <c r="AB74" s="33" t="str">
        <f t="shared" si="35"/>
        <v>Not yet due</v>
      </c>
      <c r="AC74" s="34"/>
      <c r="AD74" s="30"/>
    </row>
    <row r="75" ht="42.75" customHeight="1" outlineLevel="1">
      <c r="A75" s="29" t="s">
        <v>1102</v>
      </c>
      <c r="B75" s="30" t="s">
        <v>1065</v>
      </c>
      <c r="C75" s="31" t="s">
        <v>1103</v>
      </c>
      <c r="D75" s="30" t="s">
        <v>1104</v>
      </c>
      <c r="E75" s="30" t="s">
        <v>1105</v>
      </c>
      <c r="F75" s="30" t="s">
        <v>1106</v>
      </c>
      <c r="G75" s="30" t="s">
        <v>894</v>
      </c>
      <c r="H75" s="33" t="s">
        <v>1107</v>
      </c>
      <c r="I75" s="34">
        <v>46345.0</v>
      </c>
      <c r="J75" s="34">
        <v>46353.0</v>
      </c>
      <c r="K75" s="35">
        <v>6.0</v>
      </c>
      <c r="L75" s="35">
        <v>3.0</v>
      </c>
      <c r="M75" s="35">
        <v>7.0</v>
      </c>
      <c r="N75" s="33" t="str">
        <f t="shared" si="31"/>
        <v>Tight</v>
      </c>
      <c r="O75" s="30"/>
      <c r="P75" s="30" t="s">
        <v>1108</v>
      </c>
      <c r="Q75" s="30" t="s">
        <v>307</v>
      </c>
      <c r="R75" s="30" t="s">
        <v>1109</v>
      </c>
      <c r="S75" s="33" t="s">
        <v>142</v>
      </c>
      <c r="T75" s="34"/>
      <c r="U75" s="30"/>
      <c r="V75" s="34"/>
      <c r="W75" s="34"/>
      <c r="X75" s="35" t="str">
        <f t="shared" si="32"/>
        <v/>
      </c>
      <c r="Y75" s="35" t="str">
        <f t="shared" si="33"/>
        <v/>
      </c>
      <c r="Z75" s="35">
        <v>34.0</v>
      </c>
      <c r="AA75" s="33" t="str">
        <f t="shared" si="34"/>
        <v>Green</v>
      </c>
      <c r="AB75" s="33" t="str">
        <f t="shared" si="35"/>
        <v>Not yet due</v>
      </c>
      <c r="AC75" s="34"/>
      <c r="AD75" s="30"/>
    </row>
    <row r="76" ht="42.75" customHeight="1" outlineLevel="1">
      <c r="A76" s="29" t="s">
        <v>1110</v>
      </c>
      <c r="B76" s="30" t="s">
        <v>1065</v>
      </c>
      <c r="C76" s="31" t="s">
        <v>1111</v>
      </c>
      <c r="D76" s="30" t="s">
        <v>1112</v>
      </c>
      <c r="E76" s="30" t="s">
        <v>1113</v>
      </c>
      <c r="F76" s="30" t="s">
        <v>1114</v>
      </c>
      <c r="G76" s="30" t="s">
        <v>894</v>
      </c>
      <c r="H76" s="33" t="s">
        <v>882</v>
      </c>
      <c r="I76" s="34">
        <v>46328.0</v>
      </c>
      <c r="J76" s="34">
        <v>46346.0</v>
      </c>
      <c r="K76" s="35">
        <v>13.0</v>
      </c>
      <c r="L76" s="35">
        <v>3.0</v>
      </c>
      <c r="M76" s="35">
        <v>7.0</v>
      </c>
      <c r="N76" s="33" t="str">
        <f t="shared" si="31"/>
        <v>OK</v>
      </c>
      <c r="O76" s="30"/>
      <c r="P76" s="30" t="s">
        <v>1115</v>
      </c>
      <c r="Q76" s="30" t="s">
        <v>307</v>
      </c>
      <c r="R76" s="30" t="s">
        <v>1116</v>
      </c>
      <c r="S76" s="33" t="s">
        <v>142</v>
      </c>
      <c r="T76" s="34"/>
      <c r="U76" s="30"/>
      <c r="V76" s="34"/>
      <c r="W76" s="34"/>
      <c r="X76" s="35" t="str">
        <f t="shared" si="32"/>
        <v/>
      </c>
      <c r="Y76" s="35" t="str">
        <f t="shared" si="33"/>
        <v/>
      </c>
      <c r="Z76" s="35">
        <v>30.0</v>
      </c>
      <c r="AA76" s="33" t="str">
        <f t="shared" si="34"/>
        <v>Green</v>
      </c>
      <c r="AB76" s="33" t="str">
        <f t="shared" si="35"/>
        <v>Not yet due</v>
      </c>
      <c r="AC76" s="34"/>
      <c r="AD76" s="30"/>
    </row>
    <row r="77" ht="42.75" customHeight="1" outlineLevel="1">
      <c r="A77" s="29" t="s">
        <v>1117</v>
      </c>
      <c r="B77" s="30" t="s">
        <v>1065</v>
      </c>
      <c r="C77" s="31" t="s">
        <v>1118</v>
      </c>
      <c r="D77" s="30" t="s">
        <v>1119</v>
      </c>
      <c r="E77" s="30" t="s">
        <v>1120</v>
      </c>
      <c r="F77" s="30" t="s">
        <v>1121</v>
      </c>
      <c r="G77" s="30" t="s">
        <v>894</v>
      </c>
      <c r="H77" s="33" t="s">
        <v>898</v>
      </c>
      <c r="I77" s="34">
        <v>46328.0</v>
      </c>
      <c r="J77" s="34">
        <v>46353.0</v>
      </c>
      <c r="K77" s="35">
        <v>17.0</v>
      </c>
      <c r="L77" s="35">
        <v>3.0</v>
      </c>
      <c r="M77" s="35">
        <v>5.0</v>
      </c>
      <c r="N77" s="33" t="str">
        <f t="shared" si="31"/>
        <v>OK</v>
      </c>
      <c r="O77" s="30"/>
      <c r="P77" s="30" t="s">
        <v>1122</v>
      </c>
      <c r="Q77" s="30" t="s">
        <v>307</v>
      </c>
      <c r="R77" s="30" t="s">
        <v>1123</v>
      </c>
      <c r="S77" s="33" t="s">
        <v>142</v>
      </c>
      <c r="T77" s="34"/>
      <c r="U77" s="30"/>
      <c r="V77" s="34"/>
      <c r="W77" s="34"/>
      <c r="X77" s="35" t="str">
        <f t="shared" si="32"/>
        <v/>
      </c>
      <c r="Y77" s="35" t="str">
        <f t="shared" si="33"/>
        <v/>
      </c>
      <c r="Z77" s="35">
        <v>34.0</v>
      </c>
      <c r="AA77" s="33" t="str">
        <f t="shared" si="34"/>
        <v>Green</v>
      </c>
      <c r="AB77" s="33" t="str">
        <f t="shared" si="35"/>
        <v>Not yet due</v>
      </c>
      <c r="AC77" s="34"/>
      <c r="AD77" s="30"/>
    </row>
    <row r="78" ht="42.75" customHeight="1" outlineLevel="1">
      <c r="A78" s="29" t="s">
        <v>1124</v>
      </c>
      <c r="B78" s="30" t="s">
        <v>1065</v>
      </c>
      <c r="C78" s="31" t="s">
        <v>1125</v>
      </c>
      <c r="D78" s="30" t="s">
        <v>1126</v>
      </c>
      <c r="E78" s="30" t="s">
        <v>1127</v>
      </c>
      <c r="F78" s="30" t="s">
        <v>1128</v>
      </c>
      <c r="G78" s="30" t="s">
        <v>894</v>
      </c>
      <c r="H78" s="33" t="s">
        <v>913</v>
      </c>
      <c r="I78" s="34">
        <v>46337.0</v>
      </c>
      <c r="J78" s="34">
        <v>46352.0</v>
      </c>
      <c r="K78" s="35">
        <v>11.0</v>
      </c>
      <c r="L78" s="35">
        <v>5.0</v>
      </c>
      <c r="M78" s="35">
        <v>12.0</v>
      </c>
      <c r="N78" s="33" t="str">
        <f t="shared" si="31"/>
        <v>Tight</v>
      </c>
      <c r="O78" s="30"/>
      <c r="P78" s="30" t="s">
        <v>1129</v>
      </c>
      <c r="Q78" s="30" t="s">
        <v>1130</v>
      </c>
      <c r="R78" s="30" t="s">
        <v>1131</v>
      </c>
      <c r="S78" s="33" t="s">
        <v>142</v>
      </c>
      <c r="T78" s="34"/>
      <c r="U78" s="30"/>
      <c r="V78" s="34"/>
      <c r="W78" s="34"/>
      <c r="X78" s="35" t="str">
        <f t="shared" si="32"/>
        <v/>
      </c>
      <c r="Y78" s="35" t="str">
        <f t="shared" si="33"/>
        <v/>
      </c>
      <c r="Z78" s="35">
        <v>33.0</v>
      </c>
      <c r="AA78" s="33" t="str">
        <f t="shared" si="34"/>
        <v>Green</v>
      </c>
      <c r="AB78" s="33" t="str">
        <f t="shared" si="35"/>
        <v>Not yet due</v>
      </c>
      <c r="AC78" s="34"/>
      <c r="AD78" s="30"/>
    </row>
    <row r="79" ht="42.75" customHeight="1" outlineLevel="1">
      <c r="A79" s="29" t="s">
        <v>1132</v>
      </c>
      <c r="B79" s="30" t="s">
        <v>1065</v>
      </c>
      <c r="C79" s="31" t="s">
        <v>113</v>
      </c>
      <c r="D79" s="30" t="s">
        <v>1133</v>
      </c>
      <c r="E79" s="30" t="s">
        <v>1134</v>
      </c>
      <c r="F79" s="30" t="s">
        <v>1135</v>
      </c>
      <c r="G79" s="30" t="s">
        <v>894</v>
      </c>
      <c r="H79" s="33" t="s">
        <v>1136</v>
      </c>
      <c r="I79" s="34">
        <v>46351.0</v>
      </c>
      <c r="J79" s="34">
        <v>46358.0</v>
      </c>
      <c r="K79" s="35">
        <v>6.0</v>
      </c>
      <c r="L79" s="35">
        <v>1.0</v>
      </c>
      <c r="M79" s="35">
        <v>3.0</v>
      </c>
      <c r="N79" s="33" t="str">
        <f t="shared" si="31"/>
        <v>OK</v>
      </c>
      <c r="O79" s="30"/>
      <c r="P79" s="30" t="s">
        <v>1137</v>
      </c>
      <c r="Q79" s="30" t="s">
        <v>307</v>
      </c>
      <c r="R79" s="30"/>
      <c r="S79" s="33" t="s">
        <v>142</v>
      </c>
      <c r="T79" s="34"/>
      <c r="U79" s="30"/>
      <c r="V79" s="34"/>
      <c r="W79" s="34"/>
      <c r="X79" s="35" t="str">
        <f t="shared" si="32"/>
        <v/>
      </c>
      <c r="Y79" s="35" t="str">
        <f t="shared" si="33"/>
        <v/>
      </c>
      <c r="Z79" s="35">
        <v>37.0</v>
      </c>
      <c r="AA79" s="33" t="str">
        <f t="shared" si="34"/>
        <v>Green</v>
      </c>
      <c r="AB79" s="33" t="str">
        <f t="shared" si="35"/>
        <v>Not yet due</v>
      </c>
      <c r="AC79" s="34"/>
      <c r="AD79" s="30"/>
    </row>
    <row r="80" ht="42.75" customHeight="1" outlineLevel="1">
      <c r="A80" s="29" t="s">
        <v>1138</v>
      </c>
      <c r="B80" s="30" t="s">
        <v>1065</v>
      </c>
      <c r="C80" s="31" t="s">
        <v>1139</v>
      </c>
      <c r="D80" s="30" t="s">
        <v>1140</v>
      </c>
      <c r="E80" s="30" t="s">
        <v>1141</v>
      </c>
      <c r="F80" s="30" t="s">
        <v>1142</v>
      </c>
      <c r="G80" s="30" t="s">
        <v>894</v>
      </c>
      <c r="H80" s="33" t="s">
        <v>133</v>
      </c>
      <c r="I80" s="34">
        <v>46349.0</v>
      </c>
      <c r="J80" s="34">
        <v>46360.0</v>
      </c>
      <c r="K80" s="35">
        <v>9.0</v>
      </c>
      <c r="L80" s="35">
        <v>3.0</v>
      </c>
      <c r="M80" s="35">
        <v>7.0</v>
      </c>
      <c r="N80" s="33" t="str">
        <f t="shared" si="31"/>
        <v>OK</v>
      </c>
      <c r="O80" s="30"/>
      <c r="P80" s="30" t="s">
        <v>1143</v>
      </c>
      <c r="Q80" s="30" t="s">
        <v>307</v>
      </c>
      <c r="R80" s="30" t="s">
        <v>1144</v>
      </c>
      <c r="S80" s="33" t="s">
        <v>142</v>
      </c>
      <c r="T80" s="34"/>
      <c r="U80" s="30"/>
      <c r="V80" s="34"/>
      <c r="W80" s="34"/>
      <c r="X80" s="35" t="str">
        <f t="shared" si="32"/>
        <v/>
      </c>
      <c r="Y80" s="35" t="str">
        <f t="shared" si="33"/>
        <v/>
      </c>
      <c r="Z80" s="35">
        <v>39.0</v>
      </c>
      <c r="AA80" s="33" t="str">
        <f t="shared" si="34"/>
        <v>Green</v>
      </c>
      <c r="AB80" s="33" t="str">
        <f t="shared" si="35"/>
        <v>Not yet due</v>
      </c>
      <c r="AC80" s="34"/>
      <c r="AD80" s="30"/>
    </row>
    <row r="81" ht="15.75" customHeight="1"/>
    <row r="82" ht="19.5" customHeight="1">
      <c r="A82" s="41" t="s">
        <v>1145</v>
      </c>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row>
    <row r="83" ht="31.5" customHeight="1">
      <c r="A83" s="42" t="s">
        <v>1146</v>
      </c>
      <c r="B83" s="23" t="s">
        <v>1147</v>
      </c>
      <c r="C83" s="24"/>
      <c r="D83" s="42" t="s">
        <v>1148</v>
      </c>
      <c r="E83" s="42" t="s">
        <v>1149</v>
      </c>
      <c r="F83" s="42" t="s">
        <v>1150</v>
      </c>
      <c r="G83" s="43"/>
    </row>
    <row r="84" ht="30.0" customHeight="1">
      <c r="A84" s="29" t="s">
        <v>1151</v>
      </c>
      <c r="B84" s="44" t="s">
        <v>1152</v>
      </c>
      <c r="C84" s="45"/>
      <c r="D84" s="30" t="s">
        <v>1153</v>
      </c>
      <c r="E84" s="30" t="s">
        <v>1154</v>
      </c>
      <c r="F84" s="33" t="s">
        <v>1155</v>
      </c>
      <c r="G84" s="30"/>
    </row>
    <row r="85" ht="42.75" customHeight="1">
      <c r="A85" s="29" t="s">
        <v>1156</v>
      </c>
      <c r="B85" s="44" t="s">
        <v>1157</v>
      </c>
      <c r="C85" s="45"/>
      <c r="D85" s="32" t="s">
        <v>1158</v>
      </c>
      <c r="E85" s="30" t="s">
        <v>1159</v>
      </c>
      <c r="F85" s="33" t="s">
        <v>1160</v>
      </c>
      <c r="G85" s="30"/>
    </row>
    <row r="86" ht="30.0" customHeight="1">
      <c r="A86" s="29" t="s">
        <v>1161</v>
      </c>
      <c r="B86" s="44" t="s">
        <v>1162</v>
      </c>
      <c r="C86" s="45"/>
      <c r="D86" s="32" t="s">
        <v>1163</v>
      </c>
      <c r="E86" s="30" t="s">
        <v>1164</v>
      </c>
      <c r="F86" s="33" t="s">
        <v>1160</v>
      </c>
      <c r="G86" s="30"/>
    </row>
    <row r="87" ht="30.0" customHeight="1">
      <c r="A87" s="29" t="s">
        <v>1165</v>
      </c>
      <c r="B87" s="44" t="s">
        <v>1166</v>
      </c>
      <c r="C87" s="45"/>
      <c r="D87" s="30" t="s">
        <v>1167</v>
      </c>
      <c r="E87" s="30" t="s">
        <v>1168</v>
      </c>
      <c r="F87" s="33" t="s">
        <v>1169</v>
      </c>
      <c r="G87" s="30"/>
    </row>
    <row r="88" ht="42.75" customHeight="1">
      <c r="A88" s="29" t="s">
        <v>1170</v>
      </c>
      <c r="B88" s="44" t="s">
        <v>1171</v>
      </c>
      <c r="C88" s="45"/>
      <c r="D88" s="30" t="s">
        <v>1172</v>
      </c>
      <c r="E88" s="30" t="s">
        <v>1173</v>
      </c>
      <c r="F88" s="33" t="s">
        <v>1169</v>
      </c>
      <c r="G88" s="30"/>
    </row>
    <row r="89" ht="15.75" customHeight="1"/>
    <row r="90" ht="19.5" customHeight="1">
      <c r="A90" s="41" t="s">
        <v>1174</v>
      </c>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row>
    <row r="91" ht="30.0" customHeight="1">
      <c r="A91" s="29" t="s">
        <v>137</v>
      </c>
      <c r="B91" s="46" t="s">
        <v>1175</v>
      </c>
      <c r="C91" s="45"/>
      <c r="D91" s="44" t="s">
        <v>1176</v>
      </c>
      <c r="E91" s="47"/>
      <c r="F91" s="47"/>
      <c r="G91" s="45"/>
    </row>
    <row r="92" ht="30.0" customHeight="1">
      <c r="A92" s="29" t="s">
        <v>164</v>
      </c>
      <c r="B92" s="46" t="s">
        <v>1177</v>
      </c>
      <c r="C92" s="45"/>
      <c r="D92" s="44" t="s">
        <v>1178</v>
      </c>
      <c r="E92" s="47"/>
      <c r="F92" s="47"/>
      <c r="G92" s="45"/>
    </row>
    <row r="93" ht="30.0" customHeight="1">
      <c r="A93" s="29" t="s">
        <v>251</v>
      </c>
      <c r="B93" s="46" t="s">
        <v>1179</v>
      </c>
      <c r="C93" s="45"/>
      <c r="D93" s="44" t="s">
        <v>1180</v>
      </c>
      <c r="E93" s="47"/>
      <c r="F93" s="47"/>
      <c r="G93" s="45"/>
    </row>
    <row r="94" ht="30.0" customHeight="1">
      <c r="A94" s="29" t="s">
        <v>297</v>
      </c>
      <c r="B94" s="46" t="s">
        <v>1181</v>
      </c>
      <c r="C94" s="45"/>
      <c r="D94" s="44" t="s">
        <v>1182</v>
      </c>
      <c r="E94" s="47"/>
      <c r="F94" s="47"/>
      <c r="G94" s="45"/>
    </row>
    <row r="95" ht="30.0" customHeight="1">
      <c r="A95" s="29" t="s">
        <v>471</v>
      </c>
      <c r="B95" s="46" t="s">
        <v>1183</v>
      </c>
      <c r="C95" s="45"/>
      <c r="D95" s="44" t="s">
        <v>1184</v>
      </c>
      <c r="E95" s="47"/>
      <c r="F95" s="47"/>
      <c r="G95" s="45"/>
    </row>
    <row r="96" ht="30.0" customHeight="1">
      <c r="A96" s="29" t="s">
        <v>550</v>
      </c>
      <c r="B96" s="46" t="s">
        <v>1185</v>
      </c>
      <c r="C96" s="45"/>
      <c r="D96" s="44" t="s">
        <v>1186</v>
      </c>
      <c r="E96" s="47"/>
      <c r="F96" s="47"/>
      <c r="G96" s="45"/>
    </row>
    <row r="97" ht="30.0" customHeight="1">
      <c r="A97" s="29" t="s">
        <v>614</v>
      </c>
      <c r="B97" s="46" t="s">
        <v>1187</v>
      </c>
      <c r="C97" s="45"/>
      <c r="D97" s="44" t="s">
        <v>1188</v>
      </c>
      <c r="E97" s="47"/>
      <c r="F97" s="47"/>
      <c r="G97" s="45"/>
    </row>
    <row r="98" ht="30.0" customHeight="1">
      <c r="A98" s="29" t="s">
        <v>724</v>
      </c>
      <c r="B98" s="46" t="s">
        <v>1189</v>
      </c>
      <c r="C98" s="45"/>
      <c r="D98" s="44" t="s">
        <v>1190</v>
      </c>
      <c r="E98" s="47"/>
      <c r="F98" s="47"/>
      <c r="G98" s="45"/>
    </row>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autoFilter ref="$A$7:$AD$80"/>
  <mergeCells count="26">
    <mergeCell ref="K6:N6"/>
    <mergeCell ref="O6:R6"/>
    <mergeCell ref="B83:C83"/>
    <mergeCell ref="B84:C84"/>
    <mergeCell ref="B85:C85"/>
    <mergeCell ref="A6:J6"/>
    <mergeCell ref="S6:AD6"/>
    <mergeCell ref="B86:C86"/>
    <mergeCell ref="B87:C87"/>
    <mergeCell ref="B88:C88"/>
    <mergeCell ref="B91:C91"/>
    <mergeCell ref="D91:G91"/>
    <mergeCell ref="B92:C92"/>
    <mergeCell ref="D92:G92"/>
    <mergeCell ref="B96:C96"/>
    <mergeCell ref="B97:C97"/>
    <mergeCell ref="B98:C98"/>
    <mergeCell ref="D97:G97"/>
    <mergeCell ref="D98:G98"/>
    <mergeCell ref="B93:C93"/>
    <mergeCell ref="D93:G93"/>
    <mergeCell ref="B94:C94"/>
    <mergeCell ref="D94:G94"/>
    <mergeCell ref="B95:C95"/>
    <mergeCell ref="D95:G95"/>
    <mergeCell ref="D96:G96"/>
  </mergeCells>
  <conditionalFormatting sqref="N8:N80">
    <cfRule type="cellIs" dxfId="10" priority="1" operator="equal">
      <formula>"Critical"</formula>
    </cfRule>
  </conditionalFormatting>
  <conditionalFormatting sqref="N8:N80">
    <cfRule type="cellIs" dxfId="11" priority="2" operator="equal">
      <formula>"At risk"</formula>
    </cfRule>
  </conditionalFormatting>
  <conditionalFormatting sqref="N8:N80">
    <cfRule type="cellIs" dxfId="12" priority="3" operator="equal">
      <formula>"Tight"</formula>
    </cfRule>
  </conditionalFormatting>
  <conditionalFormatting sqref="N8:N80">
    <cfRule type="cellIs" dxfId="13" priority="4" operator="equal">
      <formula>"OK"</formula>
    </cfRule>
  </conditionalFormatting>
  <conditionalFormatting sqref="AA8:AA80">
    <cfRule type="cellIs" dxfId="10" priority="5" operator="equal">
      <formula>"Red"</formula>
    </cfRule>
  </conditionalFormatting>
  <conditionalFormatting sqref="AA8:AA80">
    <cfRule type="cellIs" dxfId="14" priority="6" operator="equal">
      <formula>"Amber"</formula>
    </cfRule>
  </conditionalFormatting>
  <conditionalFormatting sqref="AA8:AA80">
    <cfRule type="cellIs" dxfId="13" priority="7" operator="equal">
      <formula>"Green"</formula>
    </cfRule>
  </conditionalFormatting>
  <conditionalFormatting sqref="AA8:AA80">
    <cfRule type="cellIs" dxfId="15" priority="8" operator="equal">
      <formula>"Done"</formula>
    </cfRule>
  </conditionalFormatting>
  <conditionalFormatting sqref="S8:S80">
    <cfRule type="cellIs" dxfId="13" priority="9" operator="equal">
      <formula>"Closed"</formula>
    </cfRule>
  </conditionalFormatting>
  <conditionalFormatting sqref="S8:S80">
    <cfRule type="cellIs" dxfId="13" priority="10" operator="equal">
      <formula>"Received"</formula>
    </cfRule>
  </conditionalFormatting>
  <conditionalFormatting sqref="S8:S80">
    <cfRule type="cellIs" dxfId="14" priority="11" operator="equal">
      <formula>"In progress"</formula>
    </cfRule>
  </conditionalFormatting>
  <conditionalFormatting sqref="S8:S80">
    <cfRule type="cellIs" dxfId="16" priority="12" operator="equal">
      <formula>"Blocked"</formula>
    </cfRule>
  </conditionalFormatting>
  <conditionalFormatting sqref="S8:S80">
    <cfRule type="cellIs" dxfId="17" priority="13" operator="equal">
      <formula>"Raised"</formula>
    </cfRule>
  </conditionalFormatting>
  <conditionalFormatting sqref="AB8:AB80">
    <cfRule type="expression" dxfId="16" priority="14">
      <formula>LEFT($AB8,2)="L3"</formula>
    </cfRule>
  </conditionalFormatting>
  <conditionalFormatting sqref="AB8:AB80">
    <cfRule type="expression" dxfId="18" priority="15">
      <formula>LEFT($AB8,2)="L4"</formula>
    </cfRule>
  </conditionalFormatting>
  <conditionalFormatting sqref="AB8:AB80">
    <cfRule type="expression" dxfId="14" priority="16">
      <formula>OR(LEFT($AB8,2)="L2",LEFT($AB8,2)="L1")</formula>
    </cfRule>
  </conditionalFormatting>
  <dataValidations>
    <dataValidation type="list" allowBlank="1" sqref="S8:S80">
      <formula1>"Not raised,Raised,In progress,Received,Closed,Blocked,Not applicable"</formula1>
    </dataValidation>
  </dataValidations>
  <printOptions/>
  <pageMargins bottom="1.0" footer="0.0" header="0.0" left="0.75" right="0.75" top="1.0"/>
  <pageSetup fitToHeight="0" paperSize="8" orientation="landscape"/>
  <drawing r:id="rId1"/>
</worksheet>
</file>